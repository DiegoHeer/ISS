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Projects\iss\iss\"/>
    </mc:Choice>
  </mc:AlternateContent>
  <xr:revisionPtr revIDLastSave="0" documentId="13_ncr:1_{6876CD8C-CB62-4E0F-9FC6-94EE2CCF13D4}" xr6:coauthVersionLast="45" xr6:coauthVersionMax="45" xr10:uidLastSave="{00000000-0000-0000-0000-000000000000}"/>
  <bookViews>
    <workbookView xWindow="690" yWindow="2580" windowWidth="15540" windowHeight="10830" tabRatio="500" activeTab="1" xr2:uid="{00000000-000D-0000-FFFF-FFFF00000000}"/>
  </bookViews>
  <sheets>
    <sheet name="Portfolio" sheetId="4" r:id="rId1"/>
    <sheet name="Screener" sheetId="1" r:id="rId2"/>
    <sheet name="Watchlist" sheetId="6" r:id="rId3"/>
    <sheet name="xlwings.conf" sheetId="2" state="hidden" r:id="rId4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8" i="6" l="1"/>
  <c r="I8" i="6"/>
  <c r="E9" i="6"/>
  <c r="C9" i="6" s="1"/>
  <c r="E10" i="6"/>
  <c r="C10" i="6" s="1"/>
  <c r="E11" i="6"/>
  <c r="C11" i="6" s="1"/>
  <c r="E12" i="6"/>
  <c r="C12" i="6" s="1"/>
  <c r="E13" i="6"/>
  <c r="C13" i="6" s="1"/>
  <c r="E14" i="6"/>
  <c r="C14" i="6" s="1"/>
  <c r="C8" i="6" l="1"/>
</calcChain>
</file>

<file path=xl/sharedStrings.xml><?xml version="1.0" encoding="utf-8"?>
<sst xmlns="http://schemas.openxmlformats.org/spreadsheetml/2006/main" count="150" uniqueCount="106">
  <si>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</si>
  <si>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</si>
  <si>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</si>
  <si>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</si>
  <si>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</si>
  <si>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</si>
  <si>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</si>
  <si>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</si>
  <si>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</si>
  <si>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</si>
  <si>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</si>
  <si>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</si>
  <si>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</si>
  <si>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Show Console</t>
  </si>
  <si>
    <t>Return on Invested Capital</t>
  </si>
  <si>
    <t>Ticker</t>
  </si>
  <si>
    <t>Company Name</t>
  </si>
  <si>
    <t>Sector</t>
  </si>
  <si>
    <t>Industry</t>
  </si>
  <si>
    <t>Currency</t>
  </si>
  <si>
    <t>Country</t>
  </si>
  <si>
    <t>Exchange</t>
  </si>
  <si>
    <t>ROIC - 10-year</t>
  </si>
  <si>
    <t>ROIC - 5-year</t>
  </si>
  <si>
    <t>ROIC - 3-year</t>
  </si>
  <si>
    <t>ROIC - 1-year</t>
  </si>
  <si>
    <t>ROIC QuickFS - 10-year</t>
  </si>
  <si>
    <t>ROIC QuickFS - 5-year</t>
  </si>
  <si>
    <t>ROIC QuickFS - 3-year</t>
  </si>
  <si>
    <t>ROIC QuickFS - 1-year</t>
  </si>
  <si>
    <t>Debt - Payoff Possible</t>
  </si>
  <si>
    <t>MOAT Approval</t>
  </si>
  <si>
    <t>Status</t>
  </si>
  <si>
    <t>User Entry</t>
  </si>
  <si>
    <t>General Equity Information</t>
  </si>
  <si>
    <t>Rule #1 Quantitative Analysis</t>
  </si>
  <si>
    <t>Growth Rates</t>
  </si>
  <si>
    <t>OCF - 1-year</t>
  </si>
  <si>
    <t>OCF - 3-year</t>
  </si>
  <si>
    <t>OCF - 5-year</t>
  </si>
  <si>
    <t>Equity - 10-year</t>
  </si>
  <si>
    <t>Equity - 5-year</t>
  </si>
  <si>
    <t>Equity - 3-year</t>
  </si>
  <si>
    <t>Equity - 1-year</t>
  </si>
  <si>
    <t>EPS - 10-year</t>
  </si>
  <si>
    <t>EPS - 5-year</t>
  </si>
  <si>
    <t>EPS - 3-year</t>
  </si>
  <si>
    <t>EPS - 1-year</t>
  </si>
  <si>
    <t>Sales - 10-year</t>
  </si>
  <si>
    <t>Sales - 5-year</t>
  </si>
  <si>
    <t>Sales - 3-year</t>
  </si>
  <si>
    <t>Sales - 1-year</t>
  </si>
  <si>
    <t>FCF - 10-year</t>
  </si>
  <si>
    <t>FCF - 5-year</t>
  </si>
  <si>
    <t>FCF - 3-year</t>
  </si>
  <si>
    <t>FCF - 1-year</t>
  </si>
  <si>
    <t>OCF - 10-year</t>
  </si>
  <si>
    <t>jhg</t>
  </si>
  <si>
    <t>kjhkjh</t>
  </si>
  <si>
    <t>jhkj</t>
  </si>
  <si>
    <t>kjkjh</t>
  </si>
  <si>
    <t>lkhl</t>
  </si>
  <si>
    <t>Stock Price</t>
  </si>
  <si>
    <t>MOS</t>
  </si>
  <si>
    <t>Sticker Price</t>
  </si>
  <si>
    <t>Rule #1 Analysis</t>
  </si>
  <si>
    <t>Meaning Approved</t>
  </si>
  <si>
    <t>MOAT Approved</t>
  </si>
  <si>
    <t>MOAT Type</t>
  </si>
  <si>
    <t>Management Approved</t>
  </si>
  <si>
    <t>Meaning Type</t>
  </si>
  <si>
    <t>Rule #1 Approval</t>
  </si>
  <si>
    <t>MACD Status</t>
  </si>
  <si>
    <t>MA Status</t>
  </si>
  <si>
    <t>Stochastics Status</t>
  </si>
  <si>
    <t>TA Approved</t>
  </si>
  <si>
    <t>Action</t>
  </si>
  <si>
    <t>Main</t>
  </si>
  <si>
    <t>Technical Analysis</t>
  </si>
  <si>
    <t>BUY</t>
  </si>
  <si>
    <t>SELL</t>
  </si>
  <si>
    <t>TO DO</t>
  </si>
  <si>
    <t>Personal Approval</t>
  </si>
  <si>
    <t>AMZN</t>
  </si>
  <si>
    <t>MSFT</t>
  </si>
  <si>
    <t>NFLX</t>
  </si>
  <si>
    <t>AAPL</t>
  </si>
  <si>
    <t>GOOGL</t>
  </si>
  <si>
    <t>DAL</t>
  </si>
  <si>
    <t>HXL</t>
  </si>
  <si>
    <t>Updated</t>
  </si>
  <si>
    <t>New</t>
  </si>
  <si>
    <t>Refresh</t>
  </si>
  <si>
    <t>MOS Analysis</t>
  </si>
  <si>
    <t>Analyst GR</t>
  </si>
  <si>
    <t>Equity GR</t>
  </si>
  <si>
    <t>EPS GR</t>
  </si>
  <si>
    <t>Future EPS</t>
  </si>
  <si>
    <t>Av. Hist. PE</t>
  </si>
  <si>
    <t>Default PE</t>
  </si>
  <si>
    <t>Future PE</t>
  </si>
  <si>
    <t>Future Market Price</t>
  </si>
  <si>
    <t>Forward PE</t>
  </si>
  <si>
    <t>Market Cap.</t>
  </si>
  <si>
    <t>Current EPS</t>
  </si>
  <si>
    <t>D:\PythonProjects\ISS\venv\Scripts\pythonw.exe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</si>
</sst>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</fills>
  <borders count="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8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2" borderId="0" xfId="0" applyFill="1"/>
    <xf numFmtId="0" fontId="3" fillId="2" borderId="0" xfId="0" applyFont="1" applyFill="1"/>
    <xf numFmtId="0" fontId="3" fillId="2" borderId="0" xfId="0" applyFont="1" applyFill="1" applyAlignment="1"/>
    <xf numFmtId="0" fontId="3" fillId="2" borderId="1" xfId="0" applyFont="1" applyFill="1" applyBorder="1"/>
    <xf numFmtId="0" fontId="3" fillId="2" borderId="2" xfId="0" applyFont="1" applyFill="1" applyBorder="1"/>
    <xf numFmtId="0" fontId="4" fillId="2" borderId="1" xfId="0" applyFont="1" applyFill="1" applyBorder="1"/>
    <xf numFmtId="0" fontId="4" fillId="2" borderId="5" xfId="0" applyFont="1" applyFill="1" applyBorder="1" applyAlignment="1"/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9" fontId="3" fillId="2" borderId="1" xfId="1" applyFont="1" applyFill="1" applyBorder="1"/>
    <xf numFmtId="9" fontId="3" fillId="2" borderId="2" xfId="1" applyFont="1" applyFill="1" applyBorder="1"/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38"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rgb="FFFFC000"/>
      </font>
    </dxf>
    <dxf>
      <font>
        <color rgb="FF00B05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border diagonalUp="0" diagonalDown="0">
        <left style="medium">
          <color rgb="FFFFFFFF"/>
        </left>
        <right style="medium">
          <color rgb="FFFFFFFF"/>
        </right>
        <top style="medium">
          <color rgb="FFFFFFFF"/>
        </top>
        <bottom style="medium">
          <color rgb="FFFFFFFF"/>
        </bottom>
      </border>
    </dxf>
    <dxf>
      <font>
        <strike val="0"/>
        <outline val="0"/>
        <shadow val="0"/>
        <u val="none"/>
        <vertAlign val="baseline"/>
        <sz val="12"/>
        <color rgb="FFFFFFFF"/>
        <name val="Calibri"/>
        <family val="2"/>
        <scheme val="none"/>
      </font>
      <fill>
        <patternFill patternType="solid">
          <fgColor rgb="FF000000"/>
          <bgColor rgb="FF0D0D0D"/>
        </patternFill>
      </fill>
    </dxf>
    <dxf>
      <border>
        <bottom style="medium">
          <color rgb="FFFFFFFF"/>
        </bottom>
      </border>
    </dxf>
    <dxf>
      <font>
        <b/>
        <strike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border>
        <bottom style="medium">
          <color theme="0"/>
        </bottom>
      </border>
    </dxf>
    <dxf>
      <font>
        <b/>
        <strike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</dxfs>
  <tableStyles count="2" defaultTableStyle="DarkTable" defaultPivotStyle="PivotStyleMedium4">
    <tableStyle name="DarkTable" pivot="0" count="2" xr9:uid="{131ABF8D-EF13-4D14-9245-FA2978676EB9}">
      <tableStyleElement type="wholeTable" dxfId="137"/>
      <tableStyleElement type="headerRow" dxfId="136"/>
    </tableStyle>
    <tableStyle name="DynaDarkTable" table="0" count="0" xr9:uid="{B06040B8-60F4-4B9A-ABD1-CB3C8715E2D9}"/>
  </tableStyles>
  <colors>
    <mruColors>
      <color rgb="FF008000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165589</xdr:colOff>
      <xdr:row>0</xdr:row>
      <xdr:rowOff>163390</xdr:rowOff>
    </xdr:from>
    <xdr:to>
      <xdr:col>2</xdr:col>
      <xdr:colOff>349443</xdr:colOff>
      <xdr:row>4</xdr:row>
      <xdr:rowOff>36634</xdr:rowOff>
    </xdr:to>
    <xdr:sp macro="[0]!ShowScreenerUserInstructions" textlink="">
      <xdr:nvSpPr>
        <xdr:cNvPr id="7" name="Rectangle: Top Corners Snipped 6">
          <a:extLst>
            <a:ext uri="{FF2B5EF4-FFF2-40B4-BE49-F238E27FC236}">
              <a16:creationId xmlns:a16="http://schemas.microsoft.com/office/drawing/2014/main" id="{5B9E198D-1005-4CE4-8004-47BB2B4C6F8A}"/>
            </a:ext>
          </a:extLst>
        </xdr:cNvPr>
        <xdr:cNvSpPr>
          <a:spLocks noChangeAspect="1"/>
        </xdr:cNvSpPr>
      </xdr:nvSpPr>
      <xdr:spPr>
        <a:xfrm>
          <a:off x="165589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FFC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User Guidance</a:t>
          </a:r>
          <a:endParaRPr lang="en-NL" sz="1600" b="1"/>
        </a:p>
      </xdr:txBody>
    </xdr:sp>
    <xdr:clientData/>
  </xdr:twoCellAnchor>
  <xdr:twoCellAnchor editAs="absolute">
    <xdr:from>
      <xdr:col>2</xdr:col>
      <xdr:colOff>575897</xdr:colOff>
      <xdr:row>0</xdr:row>
      <xdr:rowOff>163390</xdr:rowOff>
    </xdr:from>
    <xdr:to>
      <xdr:col>4</xdr:col>
      <xdr:colOff>19731</xdr:colOff>
      <xdr:row>4</xdr:row>
      <xdr:rowOff>36634</xdr:rowOff>
    </xdr:to>
    <xdr:sp macro="[0]!UpdateScreener" textlink="">
      <xdr:nvSpPr>
        <xdr:cNvPr id="8" name="Rectangle: Top Corners Snipped 6">
          <a:extLst>
            <a:ext uri="{FF2B5EF4-FFF2-40B4-BE49-F238E27FC236}">
              <a16:creationId xmlns:a16="http://schemas.microsoft.com/office/drawing/2014/main" id="{872CBD98-6468-4992-8A13-E2C323708C17}"/>
            </a:ext>
          </a:extLst>
        </xdr:cNvPr>
        <xdr:cNvSpPr>
          <a:spLocks noChangeAspect="1"/>
        </xdr:cNvSpPr>
      </xdr:nvSpPr>
      <xdr:spPr>
        <a:xfrm>
          <a:off x="1989993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8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Update Screener</a:t>
          </a:r>
          <a:endParaRPr lang="en-NL" sz="1600" b="1"/>
        </a:p>
      </xdr:txBody>
    </xdr:sp>
    <xdr:clientData/>
  </xdr:twoCellAnchor>
  <xdr:twoCellAnchor editAs="absolute">
    <xdr:from>
      <xdr:col>4</xdr:col>
      <xdr:colOff>238858</xdr:colOff>
      <xdr:row>0</xdr:row>
      <xdr:rowOff>163390</xdr:rowOff>
    </xdr:from>
    <xdr:to>
      <xdr:col>6</xdr:col>
      <xdr:colOff>136962</xdr:colOff>
      <xdr:row>4</xdr:row>
      <xdr:rowOff>36634</xdr:rowOff>
    </xdr:to>
    <xdr:sp macro="[0]!MoveToWatchList" textlink="">
      <xdr:nvSpPr>
        <xdr:cNvPr id="9" name="Rectangle: Top Corners Snipped 6">
          <a:extLst>
            <a:ext uri="{FF2B5EF4-FFF2-40B4-BE49-F238E27FC236}">
              <a16:creationId xmlns:a16="http://schemas.microsoft.com/office/drawing/2014/main" id="{EC7B4C8D-3820-45A2-BC07-8A3C40750375}"/>
            </a:ext>
          </a:extLst>
        </xdr:cNvPr>
        <xdr:cNvSpPr>
          <a:spLocks noChangeAspect="1"/>
        </xdr:cNvSpPr>
      </xdr:nvSpPr>
      <xdr:spPr>
        <a:xfrm>
          <a:off x="3807070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70C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Move</a:t>
          </a:r>
          <a:r>
            <a:rPr lang="pt-BR" sz="1600" b="1" baseline="0"/>
            <a:t> to watchlist</a:t>
          </a:r>
          <a:endParaRPr lang="en-NL" sz="1600" b="1"/>
        </a:p>
      </xdr:txBody>
    </xdr:sp>
    <xdr:clientData/>
  </xdr:twoCellAnchor>
  <xdr:twoCellAnchor editAs="absolute">
    <xdr:from>
      <xdr:col>6</xdr:col>
      <xdr:colOff>370743</xdr:colOff>
      <xdr:row>0</xdr:row>
      <xdr:rowOff>163390</xdr:rowOff>
    </xdr:from>
    <xdr:to>
      <xdr:col>8</xdr:col>
      <xdr:colOff>107655</xdr:colOff>
      <xdr:row>4</xdr:row>
      <xdr:rowOff>36634</xdr:rowOff>
    </xdr:to>
    <xdr:sp macro="[0]!MoveToWatchList" textlink="">
      <xdr:nvSpPr>
        <xdr:cNvPr id="5" name="Rectangle: Top Corners Snipped 6">
          <a:extLst>
            <a:ext uri="{FF2B5EF4-FFF2-40B4-BE49-F238E27FC236}">
              <a16:creationId xmlns:a16="http://schemas.microsoft.com/office/drawing/2014/main" id="{59FF5F0E-ABD4-4835-996A-46D5989A2FC0}"/>
            </a:ext>
          </a:extLst>
        </xdr:cNvPr>
        <xdr:cNvSpPr>
          <a:spLocks noChangeAspect="1"/>
        </xdr:cNvSpPr>
      </xdr:nvSpPr>
      <xdr:spPr>
        <a:xfrm>
          <a:off x="5638801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7030A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Access Financial Statement</a:t>
          </a:r>
          <a:endParaRPr lang="en-NL" sz="16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165589</xdr:colOff>
      <xdr:row>0</xdr:row>
      <xdr:rowOff>163390</xdr:rowOff>
    </xdr:from>
    <xdr:to>
      <xdr:col>2</xdr:col>
      <xdr:colOff>349443</xdr:colOff>
      <xdr:row>4</xdr:row>
      <xdr:rowOff>36634</xdr:rowOff>
    </xdr:to>
    <xdr:sp macro="[0]!ShowWatchListUserInstructions" textlink="">
      <xdr:nvSpPr>
        <xdr:cNvPr id="2" name="Rectangle: Top Corners Snipped 6">
          <a:extLst>
            <a:ext uri="{FF2B5EF4-FFF2-40B4-BE49-F238E27FC236}">
              <a16:creationId xmlns:a16="http://schemas.microsoft.com/office/drawing/2014/main" id="{FDA3ABBF-79C6-42FA-ACEC-B48849D62F96}"/>
            </a:ext>
          </a:extLst>
        </xdr:cNvPr>
        <xdr:cNvSpPr>
          <a:spLocks noChangeAspect="1"/>
        </xdr:cNvSpPr>
      </xdr:nvSpPr>
      <xdr:spPr>
        <a:xfrm>
          <a:off x="165589" y="163390"/>
          <a:ext cx="1593554" cy="673344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FFC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User Guidance</a:t>
          </a:r>
          <a:endParaRPr lang="en-NL" sz="1600" b="1"/>
        </a:p>
      </xdr:txBody>
    </xdr:sp>
    <xdr:clientData/>
  </xdr:twoCellAnchor>
  <xdr:twoCellAnchor editAs="absolute">
    <xdr:from>
      <xdr:col>2</xdr:col>
      <xdr:colOff>575897</xdr:colOff>
      <xdr:row>0</xdr:row>
      <xdr:rowOff>163390</xdr:rowOff>
    </xdr:from>
    <xdr:to>
      <xdr:col>3</xdr:col>
      <xdr:colOff>1441155</xdr:colOff>
      <xdr:row>4</xdr:row>
      <xdr:rowOff>36634</xdr:rowOff>
    </xdr:to>
    <xdr:sp macro="[0]!UpdateWatchList" textlink="">
      <xdr:nvSpPr>
        <xdr:cNvPr id="3" name="Rectangle: Top Corners Snipped 6">
          <a:extLst>
            <a:ext uri="{FF2B5EF4-FFF2-40B4-BE49-F238E27FC236}">
              <a16:creationId xmlns:a16="http://schemas.microsoft.com/office/drawing/2014/main" id="{04625216-4637-4A5E-A296-2BAD4BBFA87C}"/>
            </a:ext>
          </a:extLst>
        </xdr:cNvPr>
        <xdr:cNvSpPr>
          <a:spLocks noChangeAspect="1"/>
        </xdr:cNvSpPr>
      </xdr:nvSpPr>
      <xdr:spPr>
        <a:xfrm>
          <a:off x="1985597" y="163390"/>
          <a:ext cx="1596484" cy="673344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8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Update Watchlist</a:t>
          </a:r>
          <a:endParaRPr lang="en-NL" sz="1600" b="1"/>
        </a:p>
      </xdr:txBody>
    </xdr:sp>
    <xdr:clientData/>
  </xdr:twoCellAnchor>
  <xdr:twoCellAnchor editAs="absolute">
    <xdr:from>
      <xdr:col>4</xdr:col>
      <xdr:colOff>19051</xdr:colOff>
      <xdr:row>0</xdr:row>
      <xdr:rowOff>163390</xdr:rowOff>
    </xdr:from>
    <xdr:to>
      <xdr:col>5</xdr:col>
      <xdr:colOff>386078</xdr:colOff>
      <xdr:row>4</xdr:row>
      <xdr:rowOff>36634</xdr:rowOff>
    </xdr:to>
    <xdr:sp macro="[0]!MoveToPortfolio" textlink="">
      <xdr:nvSpPr>
        <xdr:cNvPr id="4" name="Rectangle: Top Corners Snipped 6">
          <a:extLst>
            <a:ext uri="{FF2B5EF4-FFF2-40B4-BE49-F238E27FC236}">
              <a16:creationId xmlns:a16="http://schemas.microsoft.com/office/drawing/2014/main" id="{BF57B74F-5369-44AE-9C8F-0CFF5600E68D}"/>
            </a:ext>
          </a:extLst>
        </xdr:cNvPr>
        <xdr:cNvSpPr>
          <a:spLocks noChangeAspect="1"/>
        </xdr:cNvSpPr>
      </xdr:nvSpPr>
      <xdr:spPr>
        <a:xfrm>
          <a:off x="3801208" y="163390"/>
          <a:ext cx="1603079" cy="673344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70C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Move</a:t>
          </a:r>
          <a:r>
            <a:rPr lang="pt-BR" sz="1600" b="1" baseline="0"/>
            <a:t> to Portfolio</a:t>
          </a:r>
          <a:endParaRPr lang="en-NL" sz="1600" b="1"/>
        </a:p>
      </xdr:txBody>
    </xdr:sp>
    <xdr:clientData/>
  </xdr:twoCellAnchor>
  <xdr:twoCellAnchor editAs="absolute">
    <xdr:from>
      <xdr:col>5</xdr:col>
      <xdr:colOff>597878</xdr:colOff>
      <xdr:row>0</xdr:row>
      <xdr:rowOff>163390</xdr:rowOff>
    </xdr:from>
    <xdr:to>
      <xdr:col>6</xdr:col>
      <xdr:colOff>950251</xdr:colOff>
      <xdr:row>4</xdr:row>
      <xdr:rowOff>36634</xdr:rowOff>
    </xdr:to>
    <xdr:sp macro="[0]!MoveToPortfolio" textlink="">
      <xdr:nvSpPr>
        <xdr:cNvPr id="5" name="Rectangle: Top Corners Snipped 6">
          <a:extLst>
            <a:ext uri="{FF2B5EF4-FFF2-40B4-BE49-F238E27FC236}">
              <a16:creationId xmlns:a16="http://schemas.microsoft.com/office/drawing/2014/main" id="{FE309098-60E5-45B5-B2B9-6892C0D62F73}"/>
            </a:ext>
          </a:extLst>
        </xdr:cNvPr>
        <xdr:cNvSpPr>
          <a:spLocks noChangeAspect="1"/>
        </xdr:cNvSpPr>
      </xdr:nvSpPr>
      <xdr:spPr>
        <a:xfrm>
          <a:off x="5616820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7030A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Access Financial Statement</a:t>
          </a:r>
          <a:endParaRPr lang="en-NL" sz="16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91C693-9B98-4CB8-A66D-6CFC12F30B1A}" name="Screener" displayName="Screener" ref="A7:AL14" totalsRowShown="0" headerRowDxfId="135" dataDxfId="133" headerRowBorderDxfId="134" tableBorderDxfId="132">
  <autoFilter ref="A7:AL14" xr:uid="{6CDB2E93-AF10-413B-8141-0F9FDD16296B}"/>
  <tableColumns count="38">
    <tableColumn id="1" xr3:uid="{534DD1C6-3D4D-46FD-BD5D-230A911F8436}" name="Ticker" dataDxfId="40"/>
    <tableColumn id="16385" xr3:uid="{FEBF2A17-6BED-4FD2-89F3-2C82FACA6BA5}" name="Status" dataDxfId="38"/>
    <tableColumn id="2" xr3:uid="{422455F4-5F15-48E4-A1A0-C461B4226096}" name="Company Name" dataDxfId="39"/>
    <tableColumn id="3" xr3:uid="{B1AB9AE0-FCEC-4997-A9A8-BE4417451404}" name="Sector" dataDxfId="131"/>
    <tableColumn id="4" xr3:uid="{E13B7241-8458-48D3-8A3B-A7EDEB396173}" name="Industry" dataDxfId="130"/>
    <tableColumn id="5" xr3:uid="{40110713-A5A9-4B98-AC3E-78904E353072}" name="Country" dataDxfId="129"/>
    <tableColumn id="6" xr3:uid="{5A5FC46A-98B7-468D-994A-9BE92E0AA10D}" name="Currency" dataDxfId="128"/>
    <tableColumn id="7" xr3:uid="{5402D95A-C668-453A-98D1-8EE56655731E}" name="Exchange" dataDxfId="127"/>
    <tableColumn id="8" xr3:uid="{752557E2-6B5E-4D4C-A1CA-00359A8D7DED}" name="MOAT Approval" dataDxfId="126"/>
    <tableColumn id="9" xr3:uid="{1177073F-1F96-4727-B143-06643B767C9E}" name="Debt - Payoff Possible" dataDxfId="125"/>
    <tableColumn id="10" xr3:uid="{C6922B24-D50E-42BD-B1AA-9D5F85F0003D}" name="ROIC - 10-year" dataDxfId="124"/>
    <tableColumn id="11" xr3:uid="{FD8762E8-E2C4-401A-9CAB-5FE43F0BF203}" name="ROIC - 5-year" dataDxfId="123"/>
    <tableColumn id="12" xr3:uid="{F03AC37F-13C7-4DB2-9DC6-DA1EC1875518}" name="ROIC - 3-year" dataDxfId="122"/>
    <tableColumn id="13" xr3:uid="{EE563FB7-83BC-4717-AF26-8A954A3BA950}" name="ROIC - 1-year" dataDxfId="121"/>
    <tableColumn id="14" xr3:uid="{0F95A5FD-ABC5-4B17-91D4-267AEE77B235}" name="ROIC QuickFS - 10-year" dataDxfId="120"/>
    <tableColumn id="15" xr3:uid="{5BBD9D88-7981-4E1E-8712-EBD3FDBED01B}" name="ROIC QuickFS - 5-year" dataDxfId="119"/>
    <tableColumn id="16" xr3:uid="{D5ABD411-64EA-4C11-BABE-5B5EACBCB940}" name="ROIC QuickFS - 3-year" dataDxfId="118"/>
    <tableColumn id="17" xr3:uid="{018C2735-6F2F-4A9B-8574-F78EDA9C123E}" name="ROIC QuickFS - 1-year" dataDxfId="117"/>
    <tableColumn id="18" xr3:uid="{38CAB8C1-7536-48A8-AC8B-AA7A658E594A}" name="Equity - 10-year" dataDxfId="116"/>
    <tableColumn id="19" xr3:uid="{5CB24877-2B81-4B28-8293-9E3DA55C6E55}" name="Equity - 5-year" dataDxfId="115"/>
    <tableColumn id="20" xr3:uid="{5AB60461-E9FE-4F73-96D2-47990A7720BF}" name="Equity - 3-year" dataDxfId="114"/>
    <tableColumn id="21" xr3:uid="{EA2580E9-23E6-4320-951F-4FBA4C971DD8}" name="Equity - 1-year" dataDxfId="113"/>
    <tableColumn id="22" xr3:uid="{BC641077-F618-4EC0-BC06-2EBEE33AB206}" name="EPS - 10-year" dataDxfId="112"/>
    <tableColumn id="23" xr3:uid="{DFDF703B-A8F3-460E-8CD4-741B792B789E}" name="EPS - 5-year" dataDxfId="111"/>
    <tableColumn id="24" xr3:uid="{A727A240-400B-4A80-8F6D-A8FE56D4E510}" name="EPS - 3-year" dataDxfId="110"/>
    <tableColumn id="25" xr3:uid="{CC9561F0-2713-469E-B92F-A7C2D35BFA16}" name="EPS - 1-year" dataDxfId="109"/>
    <tableColumn id="26" xr3:uid="{CE081FD4-9F60-4AFD-8B85-0653E5119789}" name="Sales - 10-year" dataDxfId="108"/>
    <tableColumn id="27" xr3:uid="{304595E7-4E93-42A5-99E0-7E0020AEECCC}" name="Sales - 5-year" dataDxfId="107"/>
    <tableColumn id="28" xr3:uid="{ADDF7DE2-928D-4A03-9DD0-7359CC50CD40}" name="Sales - 3-year" dataDxfId="106"/>
    <tableColumn id="29" xr3:uid="{DC3D83C0-C4C6-4CB5-A68D-1ECA3DCDA006}" name="Sales - 1-year" dataDxfId="105"/>
    <tableColumn id="30" xr3:uid="{30C01F26-2E2C-48B3-8F74-6725EBBB5334}" name="FCF - 10-year" dataDxfId="104"/>
    <tableColumn id="31" xr3:uid="{2EBA2C20-1D09-4B47-A28A-9F1BDCFF634A}" name="FCF - 5-year" dataDxfId="103"/>
    <tableColumn id="32" xr3:uid="{E0A800AD-8994-4F75-8D37-6B2D79EBC7FC}" name="FCF - 3-year" dataDxfId="102"/>
    <tableColumn id="33" xr3:uid="{5C8391EA-BBAC-49D8-AF31-32C448684F7E}" name="FCF - 1-year" dataDxfId="101"/>
    <tableColumn id="38" xr3:uid="{3BB58B0E-3117-4A69-8F29-F3B7371CDC20}" name="OCF - 10-year" dataDxfId="100"/>
    <tableColumn id="39" xr3:uid="{905C015A-4CC2-4C75-AF5D-9967E577BE8A}" name="OCF - 5-year" dataDxfId="99"/>
    <tableColumn id="40" xr3:uid="{AF05594A-3B54-472C-9BAB-E549048A82C5}" name="OCF - 3-year" dataDxfId="98"/>
    <tableColumn id="41" xr3:uid="{034452F7-14A4-4340-8D02-66681D344173}" name="OCF - 1-year" dataDxfId="97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0DD53F-4CF9-4248-BD69-D3F7F1EA8F83}" name="Watchlist" displayName="Watchlist" ref="A7:BK14" totalsRowShown="0" headerRowDxfId="96" dataDxfId="94" headerRowBorderDxfId="95" tableBorderDxfId="93">
  <autoFilter ref="A7:BK14" xr:uid="{6CDB2E93-AF10-413B-8141-0F9FDD16296B}"/>
  <tableColumns count="63">
    <tableColumn id="1" xr3:uid="{F17078EB-4E09-4FB6-AA70-A64C231F3B47}" name="Ticker" dataDxfId="92"/>
    <tableColumn id="16385" xr3:uid="{7536DA4D-E39F-4C51-B820-294E2665DD8A}" name="Status" dataDxfId="91"/>
    <tableColumn id="16402" xr3:uid="{A74FFAB5-F166-4A92-958A-4D88B9FCC331}" name="Action" dataDxfId="90">
      <calculatedColumnFormula>IF(AND(Watchlist[[#This Row],[TA Approved]]=TRUE,Watchlist[[#This Row],[Rule '#1 Approval]]=TRUE),"BUY",IF(AND(Watchlist[[#This Row],[TA Approved]]=FALSE,OR(Watchlist[[#This Row],[Rule '#1 Approval]]=TRUE,Watchlist[[#This Row],[Rule '#1 Approval]]="WAIT")),"WAIT","NOT BUY"))</calculatedColumnFormula>
    </tableColumn>
    <tableColumn id="16403" xr3:uid="{828B3E26-6109-48DB-B82E-AF0E98260116}" name="Personal Approval" dataDxfId="89"/>
    <tableColumn id="16398" xr3:uid="{32265C11-D45A-4DA4-900F-9C5D051DBEF6}" name="TA Approved" dataDxfId="88">
      <calculatedColumnFormula>IF(COUNTIF(Watchlist[[#This Row],[MACD Status]:[Stochastics Status]],"BUY")=3,TRUE,FALSE)</calculatedColumnFormula>
    </tableColumn>
    <tableColumn id="16401" xr3:uid="{803F7478-66D1-40B0-AEE5-DEF26EBA104C}" name="MACD Status" dataDxfId="87"/>
    <tableColumn id="16400" xr3:uid="{39AD2D20-27F2-4E5B-BCEF-C2B1E39358F7}" name="MA Status" dataDxfId="86"/>
    <tableColumn id="16399" xr3:uid="{D308828C-EFF5-4B8F-813C-A525FA22DE3D}" name="Stochastics Status" dataDxfId="85"/>
    <tableColumn id="16397" xr3:uid="{2EB690B7-B7F9-4587-951A-77884655B3F9}" name="Rule #1 Approval" dataDxfId="84"/>
    <tableColumn id="16396" xr3:uid="{FEF806F9-6405-4201-9866-4A96B5E9D0C5}" name="Meaning Type" dataDxfId="83"/>
    <tableColumn id="16392" xr3:uid="{9589A386-14C6-4D33-B91A-F9E908CFCE42}" name="Meaning Approved" dataDxfId="82"/>
    <tableColumn id="16394" xr3:uid="{AE55419D-0DCE-4144-9CF4-87FA13DA99DA}" name="MOAT Type" dataDxfId="81"/>
    <tableColumn id="8" xr3:uid="{A5BDCB41-FBB7-45D6-8348-D7BE89EC3A0D}" name="MOAT Approved" dataDxfId="80"/>
    <tableColumn id="9" xr3:uid="{B9BAF95E-3297-42FA-9EF9-DEB8212225B9}" name="Debt - Payoff Possible" dataDxfId="79"/>
    <tableColumn id="16395" xr3:uid="{BBDDB370-0C2F-43FB-9F9C-087FCD21122E}" name="Management Approved" dataDxfId="78"/>
    <tableColumn id="16388" xr3:uid="{72293751-9810-4DE1-B7B1-FC20348A6ACD}" name="Sticker Price" dataDxfId="77"/>
    <tableColumn id="16389" xr3:uid="{05A93DFF-E2D3-42D7-9205-4F24357A5432}" name="MOS" dataDxfId="76"/>
    <tableColumn id="16390" xr3:uid="{E2EB8DD4-561D-491F-8171-A15A8C32A99C}" name="Stock Price" dataDxfId="75"/>
    <tableColumn id="2" xr3:uid="{BD79A27D-679D-472B-BCF4-8439A90A1262}" name="Company Name" dataDxfId="74"/>
    <tableColumn id="3" xr3:uid="{24C639FE-E3E3-4214-89B3-4E649E2AC404}" name="Sector" dataDxfId="73"/>
    <tableColumn id="4" xr3:uid="{737653E7-60F3-4587-9488-B3B2385D9697}" name="Industry" dataDxfId="72"/>
    <tableColumn id="5" xr3:uid="{BA7C846D-CFB8-4E31-9FB3-D1AC613346FE}" name="Country" dataDxfId="71"/>
    <tableColumn id="6" xr3:uid="{A251D79D-A404-474C-9383-6FF22E8E1592}" name="Currency" dataDxfId="70"/>
    <tableColumn id="7" xr3:uid="{5FC50652-9158-4869-B14F-098FB6EEB8F3}" name="Exchange" dataDxfId="69"/>
    <tableColumn id="34" xr3:uid="{6955106D-0785-4AC8-B6EF-D213C9BA00C0}" name="Analyst GR" dataDxfId="37"/>
    <tableColumn id="35" xr3:uid="{FC8ADC95-3B95-4CA2-8409-DE889BA373A1}" name="Equity GR" dataDxfId="36"/>
    <tableColumn id="36" xr3:uid="{546A11DF-7D72-42A0-B8B6-E2C8E9760DEA}" name="EPS GR" dataDxfId="35"/>
    <tableColumn id="63" xr3:uid="{6A96748F-F02A-47C0-BFF7-EA78C039CAF6}" name="Current EPS" dataDxfId="27"/>
    <tableColumn id="37" xr3:uid="{6A5FC5DD-AE9D-426E-A2A3-B28C47640794}" name="Future EPS" dataDxfId="34"/>
    <tableColumn id="42" xr3:uid="{82E4DA8A-EC15-4D7A-B45C-B26434FAEE26}" name="Av. Hist. PE" dataDxfId="33"/>
    <tableColumn id="43" xr3:uid="{A9BA0FF1-B865-4B67-8CA3-C19E7D6D2B04}" name="Default PE" dataDxfId="32"/>
    <tableColumn id="44" xr3:uid="{974812A1-0B60-4E60-BD79-096213337B43}" name="Future PE" dataDxfId="31"/>
    <tableColumn id="45" xr3:uid="{4CA4BE66-964B-4400-9E69-7950541789E2}" name="Forward PE" dataDxfId="30"/>
    <tableColumn id="46" xr3:uid="{88497CD8-B4DD-4087-9CA6-791AF96E197A}" name="Future Market Price" dataDxfId="29"/>
    <tableColumn id="47" xr3:uid="{BBD95E6C-D3AB-4A03-BC32-9ABCE81D0D3F}" name="Market Cap." dataDxfId="28"/>
    <tableColumn id="10" xr3:uid="{ECD4C084-628F-489C-92EC-E99CA84D6A75}" name="ROIC - 10-year" dataDxfId="68" dataCellStyle="Percent"/>
    <tableColumn id="11" xr3:uid="{F86044E0-13E7-473C-8DAE-5CE00244C1B1}" name="ROIC - 5-year" dataDxfId="67" dataCellStyle="Percent"/>
    <tableColumn id="12" xr3:uid="{002BFA32-265B-4944-B409-A5C1BF074729}" name="ROIC - 3-year" dataDxfId="66" dataCellStyle="Percent"/>
    <tableColumn id="13" xr3:uid="{FF755BD7-3DE7-40FD-A2C7-385964E01DE0}" name="ROIC - 1-year" dataDxfId="65" dataCellStyle="Percent"/>
    <tableColumn id="14" xr3:uid="{B558D193-F29D-4F4A-B266-B5C7E7F220D0}" name="ROIC QuickFS - 10-year" dataDxfId="64" dataCellStyle="Percent"/>
    <tableColumn id="15" xr3:uid="{DA908BF4-9E9B-43DF-BE83-474D5D78DF14}" name="ROIC QuickFS - 5-year" dataDxfId="63" dataCellStyle="Percent"/>
    <tableColumn id="16" xr3:uid="{1A575379-DA11-4F97-B3E1-17E8FAF1AF3F}" name="ROIC QuickFS - 3-year" dataDxfId="62" dataCellStyle="Percent"/>
    <tableColumn id="17" xr3:uid="{07E12253-12DD-4735-B9FD-47638809999B}" name="ROIC QuickFS - 1-year" dataDxfId="61" dataCellStyle="Percent"/>
    <tableColumn id="18" xr3:uid="{10CA815D-8F61-40C8-A298-D830CEB1CAD2}" name="Equity - 10-year" dataDxfId="60" dataCellStyle="Percent"/>
    <tableColumn id="19" xr3:uid="{1B7651FC-6FEF-401C-8004-63755D74A404}" name="Equity - 5-year" dataDxfId="59" dataCellStyle="Percent"/>
    <tableColumn id="20" xr3:uid="{CCADA694-1F73-4885-AFA9-0D32179A0907}" name="Equity - 3-year" dataDxfId="58" dataCellStyle="Percent"/>
    <tableColumn id="21" xr3:uid="{BE0EB31F-1F10-41DA-BFFE-746F53E4850A}" name="Equity - 1-year" dataDxfId="57" dataCellStyle="Percent"/>
    <tableColumn id="22" xr3:uid="{EB47B244-06CE-4808-BFB0-0C90A0AE316E}" name="EPS - 10-year" dataDxfId="56" dataCellStyle="Percent"/>
    <tableColumn id="23" xr3:uid="{328D7F25-E21A-489C-8F28-3C84008A4390}" name="EPS - 5-year" dataDxfId="55" dataCellStyle="Percent"/>
    <tableColumn id="24" xr3:uid="{E9AC8CB0-A05A-4F87-B1F2-933EE0E49EE8}" name="EPS - 3-year" dataDxfId="54" dataCellStyle="Percent"/>
    <tableColumn id="25" xr3:uid="{91EA8E49-641D-4B95-B9A9-F19CBAD0AB63}" name="EPS - 1-year" dataDxfId="53" dataCellStyle="Percent"/>
    <tableColumn id="26" xr3:uid="{BD514383-8E29-48B8-A9D8-245F0A879FD8}" name="Sales - 10-year" dataDxfId="52" dataCellStyle="Percent"/>
    <tableColumn id="27" xr3:uid="{3BAEF80D-3A72-44FE-AC92-C07B728AD3EF}" name="Sales - 5-year" dataDxfId="51" dataCellStyle="Percent"/>
    <tableColumn id="28" xr3:uid="{36434464-2A6E-4B37-B007-969DA3C697F5}" name="Sales - 3-year" dataDxfId="50" dataCellStyle="Percent"/>
    <tableColumn id="29" xr3:uid="{3DFB5249-230D-4544-A4D4-D20ACA7DA77C}" name="Sales - 1-year" dataDxfId="49" dataCellStyle="Percent"/>
    <tableColumn id="30" xr3:uid="{E59B97F5-CFBA-4AA4-8935-6AA9635C6A46}" name="FCF - 10-year" dataDxfId="48" dataCellStyle="Percent"/>
    <tableColumn id="31" xr3:uid="{F78ABE31-2733-4CA7-9E02-E6566F2F96D5}" name="FCF - 5-year" dataDxfId="47" dataCellStyle="Percent"/>
    <tableColumn id="32" xr3:uid="{9E2C7FB5-6E96-470D-BEF2-CCBAC0FEF313}" name="FCF - 3-year" dataDxfId="46" dataCellStyle="Percent"/>
    <tableColumn id="33" xr3:uid="{09A9831F-08F6-404B-A83A-857CEAE3F5C2}" name="FCF - 1-year" dataDxfId="45" dataCellStyle="Percent"/>
    <tableColumn id="38" xr3:uid="{2FF3E9C4-EFB4-44BC-883A-DCD9703E1F8E}" name="OCF - 10-year" dataDxfId="44" dataCellStyle="Percent"/>
    <tableColumn id="39" xr3:uid="{94B8F2C6-687E-43F6-8086-81683834E13E}" name="OCF - 5-year" dataDxfId="43" dataCellStyle="Percent"/>
    <tableColumn id="40" xr3:uid="{D9F88DDD-C4A2-49B4-A21C-E80445943D2A}" name="OCF - 3-year" dataDxfId="42" dataCellStyle="Percent"/>
    <tableColumn id="41" xr3:uid="{2BA1CDC7-B3AC-45B9-A074-75D3F8C963EB}" name="OCF - 1-year" dataDxfId="41" dataCellStyle="Percent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66C7F-2C6D-4041-A41F-578D6B65B80E}">
  <sheetPr codeName="Sheet3"/>
  <dimension ref="A1"/>
  <sheetViews>
    <sheetView workbookViewId="0">
      <selection activeCell="C37" sqref="C37"/>
    </sheetView>
  </sheetViews>
  <sheetFormatPr defaultColWidth="8.625" defaultRowHeight="15.75" x14ac:dyDescent="0.25"/>
  <cols>
    <col min="1" max="16384" width="8.625" style="3"/>
  </cols>
  <sheetData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AP14"/>
  <sheetViews>
    <sheetView tabSelected="1" zoomScale="130" zoomScaleNormal="130" workbookViewId="0">
      <selection activeCell="E24" sqref="E24"/>
    </sheetView>
  </sheetViews>
  <sheetFormatPr defaultColWidth="11" defaultRowHeight="15.75" x14ac:dyDescent="0.25"/>
  <cols>
    <col min="1" max="1" width="9.125" style="4" bestFit="1" customWidth="1"/>
    <col min="2" max="2" width="9.375" style="4" bestFit="1" customWidth="1"/>
    <col min="3" max="3" width="18.75" style="4" bestFit="1" customWidth="1"/>
    <col min="4" max="4" width="9.5" style="4" bestFit="1" customWidth="1"/>
    <col min="5" max="5" width="11.375" style="4" bestFit="1" customWidth="1"/>
    <col min="6" max="6" width="11" style="4" bestFit="1" customWidth="1"/>
    <col min="7" max="7" width="12" style="4" bestFit="1" customWidth="1"/>
    <col min="8" max="8" width="12.375" style="4" bestFit="1" customWidth="1"/>
    <col min="9" max="9" width="19.125" style="4" bestFit="1" customWidth="1"/>
    <col min="10" max="10" width="25.125" style="4" bestFit="1" customWidth="1"/>
    <col min="11" max="11" width="17.5" style="4" bestFit="1" customWidth="1"/>
    <col min="12" max="14" width="16.25" style="4" bestFit="1" customWidth="1"/>
    <col min="15" max="15" width="26.125" style="4" bestFit="1" customWidth="1"/>
    <col min="16" max="18" width="24.875" style="4" bestFit="1" customWidth="1"/>
    <col min="19" max="19" width="18.875" style="4" bestFit="1" customWidth="1"/>
    <col min="20" max="22" width="17.625" style="4" bestFit="1" customWidth="1"/>
    <col min="23" max="23" width="16.125" style="4" bestFit="1" customWidth="1"/>
    <col min="24" max="26" width="14.75" style="4" bestFit="1" customWidth="1"/>
    <col min="27" max="27" width="17.75" style="4" bestFit="1" customWidth="1"/>
    <col min="28" max="30" width="16.5" style="4" bestFit="1" customWidth="1"/>
    <col min="31" max="31" width="16.125" style="4" bestFit="1" customWidth="1"/>
    <col min="32" max="34" width="14.75" style="4" bestFit="1" customWidth="1"/>
    <col min="35" max="35" width="16.625" style="4" bestFit="1" customWidth="1"/>
    <col min="36" max="38" width="15.375" style="4" bestFit="1" customWidth="1"/>
    <col min="39" max="39" width="25.875" style="4" bestFit="1" customWidth="1"/>
    <col min="40" max="42" width="24.875" style="4" bestFit="1" customWidth="1"/>
    <col min="43" max="16384" width="11" style="4"/>
  </cols>
  <sheetData>
    <row r="5" spans="1:42" ht="16.5" thickBot="1" x14ac:dyDescent="0.3"/>
    <row r="6" spans="1:42" ht="19.5" thickBot="1" x14ac:dyDescent="0.35">
      <c r="A6" s="14" t="s">
        <v>33</v>
      </c>
      <c r="B6" s="14"/>
      <c r="C6" s="14" t="s">
        <v>34</v>
      </c>
      <c r="D6" s="14"/>
      <c r="E6" s="14"/>
      <c r="F6" s="14"/>
      <c r="G6" s="14"/>
      <c r="H6" s="14"/>
      <c r="I6" s="14" t="s">
        <v>35</v>
      </c>
      <c r="J6" s="14"/>
      <c r="K6" s="14" t="s">
        <v>14</v>
      </c>
      <c r="L6" s="14"/>
      <c r="M6" s="14"/>
      <c r="N6" s="14"/>
      <c r="O6" s="14"/>
      <c r="P6" s="14"/>
      <c r="Q6" s="14"/>
      <c r="R6" s="14"/>
      <c r="S6" s="14" t="s">
        <v>36</v>
      </c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5"/>
      <c r="AN6" s="5"/>
      <c r="AO6" s="5"/>
      <c r="AP6" s="5"/>
    </row>
    <row r="7" spans="1:42" ht="19.5" thickBot="1" x14ac:dyDescent="0.35">
      <c r="A7" s="8" t="s">
        <v>15</v>
      </c>
      <c r="B7" s="8" t="s">
        <v>32</v>
      </c>
      <c r="C7" s="8" t="s">
        <v>16</v>
      </c>
      <c r="D7" s="8" t="s">
        <v>17</v>
      </c>
      <c r="E7" s="8" t="s">
        <v>18</v>
      </c>
      <c r="F7" s="8" t="s">
        <v>20</v>
      </c>
      <c r="G7" s="8" t="s">
        <v>19</v>
      </c>
      <c r="H7" s="8" t="s">
        <v>21</v>
      </c>
      <c r="I7" s="8" t="s">
        <v>31</v>
      </c>
      <c r="J7" s="8" t="s">
        <v>30</v>
      </c>
      <c r="K7" s="8" t="s">
        <v>22</v>
      </c>
      <c r="L7" s="8" t="s">
        <v>23</v>
      </c>
      <c r="M7" s="8" t="s">
        <v>24</v>
      </c>
      <c r="N7" s="8" t="s">
        <v>25</v>
      </c>
      <c r="O7" s="8" t="s">
        <v>26</v>
      </c>
      <c r="P7" s="8" t="s">
        <v>27</v>
      </c>
      <c r="Q7" s="8" t="s">
        <v>28</v>
      </c>
      <c r="R7" s="8" t="s">
        <v>29</v>
      </c>
      <c r="S7" s="8" t="s">
        <v>40</v>
      </c>
      <c r="T7" s="8" t="s">
        <v>41</v>
      </c>
      <c r="U7" s="8" t="s">
        <v>42</v>
      </c>
      <c r="V7" s="8" t="s">
        <v>43</v>
      </c>
      <c r="W7" s="8" t="s">
        <v>44</v>
      </c>
      <c r="X7" s="8" t="s">
        <v>45</v>
      </c>
      <c r="Y7" s="8" t="s">
        <v>46</v>
      </c>
      <c r="Z7" s="8" t="s">
        <v>47</v>
      </c>
      <c r="AA7" s="8" t="s">
        <v>48</v>
      </c>
      <c r="AB7" s="8" t="s">
        <v>49</v>
      </c>
      <c r="AC7" s="8" t="s">
        <v>50</v>
      </c>
      <c r="AD7" s="8" t="s">
        <v>51</v>
      </c>
      <c r="AE7" s="8" t="s">
        <v>52</v>
      </c>
      <c r="AF7" s="8" t="s">
        <v>53</v>
      </c>
      <c r="AG7" s="8" t="s">
        <v>54</v>
      </c>
      <c r="AH7" s="8" t="s">
        <v>55</v>
      </c>
      <c r="AI7" s="8" t="s">
        <v>56</v>
      </c>
      <c r="AJ7" s="8" t="s">
        <v>39</v>
      </c>
      <c r="AK7" s="8" t="s">
        <v>38</v>
      </c>
      <c r="AL7" s="8" t="s">
        <v>37</v>
      </c>
    </row>
    <row r="8" spans="1:42" ht="16.5" thickBot="1" x14ac:dyDescent="0.3">
      <c r="A8" s="6" t="s">
        <v>83</v>
      </c>
      <c r="B8" s="10" t="s">
        <v>90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</row>
    <row r="9" spans="1:42" ht="16.5" thickBot="1" x14ac:dyDescent="0.3">
      <c r="A9" s="7" t="s">
        <v>84</v>
      </c>
      <c r="B9" s="11" t="s">
        <v>91</v>
      </c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</row>
    <row r="10" spans="1:42" ht="16.5" thickBot="1" x14ac:dyDescent="0.3">
      <c r="A10" s="7" t="s">
        <v>85</v>
      </c>
      <c r="B10" s="11" t="s">
        <v>92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</row>
    <row r="11" spans="1:42" ht="16.5" thickBot="1" x14ac:dyDescent="0.3">
      <c r="A11" s="7" t="s">
        <v>86</v>
      </c>
      <c r="B11" s="11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6.5" thickBot="1" x14ac:dyDescent="0.3">
      <c r="A12" s="7" t="s">
        <v>87</v>
      </c>
      <c r="B12" s="11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6.5" thickBot="1" x14ac:dyDescent="0.3">
      <c r="A13" s="7" t="s">
        <v>88</v>
      </c>
      <c r="B13" s="11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x14ac:dyDescent="0.25">
      <c r="A14" s="7" t="s">
        <v>89</v>
      </c>
      <c r="B14" s="11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</sheetData>
  <mergeCells count="5">
    <mergeCell ref="A6:B6"/>
    <mergeCell ref="C6:H6"/>
    <mergeCell ref="I6:J6"/>
    <mergeCell ref="K6:R6"/>
    <mergeCell ref="S6:AL6"/>
  </mergeCells>
  <conditionalFormatting sqref="B8:B14">
    <cfRule type="cellIs" dxfId="26" priority="1" operator="equal">
      <formula>"Refresh"</formula>
    </cfRule>
    <cfRule type="cellIs" dxfId="25" priority="2" operator="equal">
      <formula>"New"</formula>
    </cfRule>
    <cfRule type="cellIs" dxfId="24" priority="3" operator="equal">
      <formula>"Updated"</formula>
    </cfRule>
  </conditionalFormatting>
  <dataValidations count="1">
    <dataValidation type="list" allowBlank="1" showInputMessage="1" showErrorMessage="1" sqref="B8:B14" xr:uid="{B92A864F-EF30-483F-98A4-C785FB8640D1}">
      <formula1>"Updated,New,Refresh"</formula1>
    </dataValidation>
  </dataValidations>
  <pageMargins left="0.75" right="0.75" top="1" bottom="1" header="0.5" footer="0.5"/>
  <pageSetup paperSize="9" orientation="portrait" horizontalDpi="300" verticalDpi="30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DFD6A-0EDB-4876-81DD-5BB46859C38B}">
  <sheetPr codeName="Sheet5"/>
  <dimension ref="A5:BK14"/>
  <sheetViews>
    <sheetView zoomScale="130" zoomScaleNormal="130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E25" sqref="E25"/>
    </sheetView>
  </sheetViews>
  <sheetFormatPr defaultColWidth="11" defaultRowHeight="15.75" x14ac:dyDescent="0.25"/>
  <cols>
    <col min="1" max="1" width="9.125" style="4" bestFit="1" customWidth="1"/>
    <col min="2" max="2" width="9.375" style="4" bestFit="1" customWidth="1"/>
    <col min="3" max="3" width="9.625" style="4" bestFit="1" customWidth="1"/>
    <col min="4" max="4" width="21.5" style="4" bestFit="1" customWidth="1"/>
    <col min="5" max="5" width="16.125" style="4" bestFit="1" customWidth="1"/>
    <col min="6" max="6" width="16.375" style="4" bestFit="1" customWidth="1"/>
    <col min="7" max="7" width="13.5" style="4" bestFit="1" customWidth="1"/>
    <col min="8" max="8" width="21.25" style="4" bestFit="1" customWidth="1"/>
    <col min="9" max="9" width="20.25" style="4" bestFit="1" customWidth="1"/>
    <col min="10" max="10" width="17.25" style="4" bestFit="1" customWidth="1"/>
    <col min="11" max="11" width="22.375" style="4" bestFit="1" customWidth="1"/>
    <col min="12" max="12" width="14.75" style="4" bestFit="1" customWidth="1"/>
    <col min="13" max="13" width="20" style="4" bestFit="1" customWidth="1"/>
    <col min="14" max="14" width="25.125" style="4" bestFit="1" customWidth="1"/>
    <col min="15" max="15" width="27" style="4" bestFit="1" customWidth="1"/>
    <col min="16" max="16" width="15.625" style="4" bestFit="1" customWidth="1"/>
    <col min="17" max="17" width="8" style="4" bestFit="1" customWidth="1"/>
    <col min="18" max="18" width="14" style="4" bestFit="1" customWidth="1"/>
    <col min="19" max="19" width="18.75" style="4" bestFit="1" customWidth="1"/>
    <col min="20" max="20" width="9.5" style="4" bestFit="1" customWidth="1"/>
    <col min="21" max="21" width="11.375" style="4" bestFit="1" customWidth="1"/>
    <col min="22" max="22" width="11" style="4" bestFit="1" customWidth="1"/>
    <col min="23" max="23" width="12" style="4" bestFit="1" customWidth="1"/>
    <col min="24" max="24" width="12.375" style="4" bestFit="1" customWidth="1"/>
    <col min="25" max="25" width="14" style="4" bestFit="1" customWidth="1"/>
    <col min="26" max="26" width="12.75" style="4" bestFit="1" customWidth="1"/>
    <col min="27" max="27" width="10" style="4" bestFit="1" customWidth="1"/>
    <col min="28" max="28" width="14.75" style="4" bestFit="1" customWidth="1"/>
    <col min="29" max="29" width="13.75" style="4" bestFit="1" customWidth="1"/>
    <col min="30" max="30" width="14.375" style="4" bestFit="1" customWidth="1"/>
    <col min="31" max="31" width="13.375" style="4" bestFit="1" customWidth="1"/>
    <col min="32" max="32" width="12.625" style="4" bestFit="1" customWidth="1"/>
    <col min="33" max="33" width="14.25" style="4" bestFit="1" customWidth="1"/>
    <col min="34" max="34" width="23.5" style="4" bestFit="1" customWidth="1"/>
    <col min="35" max="35" width="15.375" style="4" bestFit="1" customWidth="1"/>
    <col min="36" max="36" width="17.5" style="4" bestFit="1" customWidth="1"/>
    <col min="37" max="39" width="16.25" style="4" bestFit="1" customWidth="1"/>
    <col min="40" max="40" width="26.125" style="4" bestFit="1" customWidth="1"/>
    <col min="41" max="43" width="24.875" style="4" bestFit="1" customWidth="1"/>
    <col min="44" max="44" width="18.875" style="4" bestFit="1" customWidth="1"/>
    <col min="45" max="47" width="17.625" style="4" bestFit="1" customWidth="1"/>
    <col min="48" max="48" width="16.125" style="4" bestFit="1" customWidth="1"/>
    <col min="49" max="51" width="14.75" style="4" bestFit="1" customWidth="1"/>
    <col min="52" max="52" width="17.75" style="4" bestFit="1" customWidth="1"/>
    <col min="53" max="55" width="16.5" style="4" bestFit="1" customWidth="1"/>
    <col min="56" max="56" width="16.125" style="4" bestFit="1" customWidth="1"/>
    <col min="57" max="59" width="14.75" style="4" bestFit="1" customWidth="1"/>
    <col min="60" max="60" width="16.625" style="4" bestFit="1" customWidth="1"/>
    <col min="61" max="63" width="15.375" style="4" bestFit="1" customWidth="1"/>
    <col min="64" max="16384" width="11" style="4"/>
  </cols>
  <sheetData>
    <row r="5" spans="1:63" ht="16.5" thickBot="1" x14ac:dyDescent="0.3"/>
    <row r="6" spans="1:63" ht="19.5" thickBot="1" x14ac:dyDescent="0.35">
      <c r="A6" s="15" t="s">
        <v>77</v>
      </c>
      <c r="B6" s="16"/>
      <c r="C6" s="16"/>
      <c r="D6" s="9"/>
      <c r="E6" s="15" t="s">
        <v>78</v>
      </c>
      <c r="F6" s="16"/>
      <c r="G6" s="16"/>
      <c r="H6" s="17"/>
      <c r="I6" s="15" t="s">
        <v>65</v>
      </c>
      <c r="J6" s="16"/>
      <c r="K6" s="16"/>
      <c r="L6" s="16"/>
      <c r="M6" s="16"/>
      <c r="N6" s="16"/>
      <c r="O6" s="16"/>
      <c r="P6" s="16"/>
      <c r="Q6" s="17"/>
      <c r="R6" s="15" t="s">
        <v>34</v>
      </c>
      <c r="S6" s="16"/>
      <c r="T6" s="16"/>
      <c r="U6" s="16"/>
      <c r="V6" s="16"/>
      <c r="W6" s="16"/>
      <c r="X6" s="17"/>
      <c r="Y6" s="15" t="s">
        <v>93</v>
      </c>
      <c r="Z6" s="16"/>
      <c r="AA6" s="16"/>
      <c r="AB6" s="16"/>
      <c r="AC6" s="16"/>
      <c r="AD6" s="16"/>
      <c r="AE6" s="16"/>
      <c r="AF6" s="16"/>
      <c r="AG6" s="16"/>
      <c r="AH6" s="16"/>
      <c r="AI6" s="17"/>
      <c r="AJ6" s="15" t="s">
        <v>14</v>
      </c>
      <c r="AK6" s="16"/>
      <c r="AL6" s="16"/>
      <c r="AM6" s="16"/>
      <c r="AN6" s="16"/>
      <c r="AO6" s="16"/>
      <c r="AP6" s="16"/>
      <c r="AQ6" s="17"/>
      <c r="AR6" s="15" t="s">
        <v>36</v>
      </c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</row>
    <row r="7" spans="1:63" ht="19.5" thickBot="1" x14ac:dyDescent="0.35">
      <c r="A7" s="8" t="s">
        <v>15</v>
      </c>
      <c r="B7" s="8" t="s">
        <v>32</v>
      </c>
      <c r="C7" s="8" t="s">
        <v>76</v>
      </c>
      <c r="D7" s="8" t="s">
        <v>82</v>
      </c>
      <c r="E7" s="8" t="s">
        <v>75</v>
      </c>
      <c r="F7" s="8" t="s">
        <v>72</v>
      </c>
      <c r="G7" s="8" t="s">
        <v>73</v>
      </c>
      <c r="H7" s="8" t="s">
        <v>74</v>
      </c>
      <c r="I7" s="8" t="s">
        <v>71</v>
      </c>
      <c r="J7" s="8" t="s">
        <v>70</v>
      </c>
      <c r="K7" s="8" t="s">
        <v>66</v>
      </c>
      <c r="L7" s="8" t="s">
        <v>68</v>
      </c>
      <c r="M7" s="8" t="s">
        <v>67</v>
      </c>
      <c r="N7" s="8" t="s">
        <v>30</v>
      </c>
      <c r="O7" s="8" t="s">
        <v>69</v>
      </c>
      <c r="P7" s="8" t="s">
        <v>64</v>
      </c>
      <c r="Q7" s="8" t="s">
        <v>63</v>
      </c>
      <c r="R7" s="8" t="s">
        <v>62</v>
      </c>
      <c r="S7" s="8" t="s">
        <v>16</v>
      </c>
      <c r="T7" s="8" t="s">
        <v>17</v>
      </c>
      <c r="U7" s="8" t="s">
        <v>18</v>
      </c>
      <c r="V7" s="8" t="s">
        <v>20</v>
      </c>
      <c r="W7" s="8" t="s">
        <v>19</v>
      </c>
      <c r="X7" s="8" t="s">
        <v>21</v>
      </c>
      <c r="Y7" s="8" t="s">
        <v>94</v>
      </c>
      <c r="Z7" s="8" t="s">
        <v>95</v>
      </c>
      <c r="AA7" s="8" t="s">
        <v>96</v>
      </c>
      <c r="AB7" s="8" t="s">
        <v>104</v>
      </c>
      <c r="AC7" s="8" t="s">
        <v>97</v>
      </c>
      <c r="AD7" s="8" t="s">
        <v>98</v>
      </c>
      <c r="AE7" s="8" t="s">
        <v>99</v>
      </c>
      <c r="AF7" s="8" t="s">
        <v>100</v>
      </c>
      <c r="AG7" s="8" t="s">
        <v>102</v>
      </c>
      <c r="AH7" s="8" t="s">
        <v>101</v>
      </c>
      <c r="AI7" s="8" t="s">
        <v>103</v>
      </c>
      <c r="AJ7" s="8" t="s">
        <v>22</v>
      </c>
      <c r="AK7" s="8" t="s">
        <v>23</v>
      </c>
      <c r="AL7" s="8" t="s">
        <v>24</v>
      </c>
      <c r="AM7" s="8" t="s">
        <v>25</v>
      </c>
      <c r="AN7" s="8" t="s">
        <v>26</v>
      </c>
      <c r="AO7" s="8" t="s">
        <v>27</v>
      </c>
      <c r="AP7" s="8" t="s">
        <v>28</v>
      </c>
      <c r="AQ7" s="8" t="s">
        <v>29</v>
      </c>
      <c r="AR7" s="8" t="s">
        <v>40</v>
      </c>
      <c r="AS7" s="8" t="s">
        <v>41</v>
      </c>
      <c r="AT7" s="8" t="s">
        <v>42</v>
      </c>
      <c r="AU7" s="8" t="s">
        <v>43</v>
      </c>
      <c r="AV7" s="8" t="s">
        <v>44</v>
      </c>
      <c r="AW7" s="8" t="s">
        <v>45</v>
      </c>
      <c r="AX7" s="8" t="s">
        <v>46</v>
      </c>
      <c r="AY7" s="8" t="s">
        <v>47</v>
      </c>
      <c r="AZ7" s="8" t="s">
        <v>48</v>
      </c>
      <c r="BA7" s="8" t="s">
        <v>49</v>
      </c>
      <c r="BB7" s="8" t="s">
        <v>50</v>
      </c>
      <c r="BC7" s="8" t="s">
        <v>51</v>
      </c>
      <c r="BD7" s="8" t="s">
        <v>52</v>
      </c>
      <c r="BE7" s="8" t="s">
        <v>53</v>
      </c>
      <c r="BF7" s="8" t="s">
        <v>54</v>
      </c>
      <c r="BG7" s="8" t="s">
        <v>55</v>
      </c>
      <c r="BH7" s="8" t="s">
        <v>56</v>
      </c>
      <c r="BI7" s="8" t="s">
        <v>39</v>
      </c>
      <c r="BJ7" s="8" t="s">
        <v>38</v>
      </c>
      <c r="BK7" s="8" t="s">
        <v>37</v>
      </c>
    </row>
    <row r="8" spans="1:63" ht="16.5" thickBot="1" x14ac:dyDescent="0.3">
      <c r="A8" s="6" t="s">
        <v>57</v>
      </c>
      <c r="B8" s="10"/>
      <c r="C8" s="10" t="str">
        <f>IF(AND(Watchlist[[#This Row],[TA Approved]]=TRUE,Watchlist[[#This Row],[Rule '#1 Approval]]=TRUE),"BUY",IF(AND(Watchlist[[#This Row],[TA Approved]]=FALSE,OR(Watchlist[[#This Row],[Rule '#1 Approval]]=TRUE,Watchlist[[#This Row],[Rule '#1 Approval]]="WAIT")),"WAIT","NOT BUY"))</f>
        <v>NOT BUY</v>
      </c>
      <c r="D8" s="6"/>
      <c r="E8" s="6" t="b">
        <f>IF(COUNTIF(Watchlist[[#This Row],[MACD Status]:[Stochastics Status]],"BUY")=3,TRUE,FALSE)</f>
        <v>0</v>
      </c>
      <c r="F8" s="10"/>
      <c r="G8" s="10"/>
      <c r="H8" s="10"/>
      <c r="I8" s="6" t="b">
        <f>IF(AND(Watchlist[[#This Row],[Meaning Approved]]=TRUE,Watchlist[[#This Row],[MOAT Approved]]=TRUE,Watchlist[[#This Row],[Debt - Payoff Possible]]="TRUE",Watchlist[[#This Row],[Management Approved]]="TRUE",Watchlist[[#This Row],[MOS]]&lt;=Watchlist[[#This Row],[Stock Price]]),TRUE,IF(AND(Watchlist[[#This Row],[Meaning Approved]]=TRUE,Watchlist[[#This Row],[MOAT Approved]]=TRUE,Watchlist[[#This Row],[Debt - Payoff Possible]]="TRUE",Watchlist[[#This Row],[Management Approved]]="TRUE"),"WAIT",FALSE))</f>
        <v>0</v>
      </c>
      <c r="J8" s="6"/>
      <c r="K8" s="10"/>
      <c r="L8" s="6"/>
      <c r="M8" s="10"/>
      <c r="N8" s="10"/>
      <c r="O8" s="10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12"/>
    </row>
    <row r="9" spans="1:63" ht="16.5" thickBot="1" x14ac:dyDescent="0.3">
      <c r="A9" s="7" t="s">
        <v>58</v>
      </c>
      <c r="B9" s="11"/>
      <c r="C9" s="11" t="str">
        <f>IF(AND(Watchlist[[#This Row],[TA Approved]]=TRUE,Watchlist[[#This Row],[Rule '#1 Approval]]=TRUE),"BUY",IF(AND(Watchlist[[#This Row],[TA Approved]]=FALSE,OR(Watchlist[[#This Row],[Rule '#1 Approval]]=TRUE,Watchlist[[#This Row],[Rule '#1 Approval]]="WAIT")),"WAIT","NOT BUY"))</f>
        <v>NOT BUY</v>
      </c>
      <c r="D9" s="7"/>
      <c r="E9" s="7" t="b">
        <f>IF(COUNTIF(Watchlist[[#This Row],[MACD Status]:[Stochastics Status]],"BUY")=3,TRUE,FALSE)</f>
        <v>0</v>
      </c>
      <c r="F9" s="11"/>
      <c r="G9" s="11"/>
      <c r="H9" s="11"/>
      <c r="I9" s="7"/>
      <c r="J9" s="7"/>
      <c r="K9" s="11"/>
      <c r="L9" s="7"/>
      <c r="M9" s="11"/>
      <c r="N9" s="11"/>
      <c r="O9" s="11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13"/>
      <c r="AK9" s="13"/>
      <c r="AL9" s="13">
        <v>0.1</v>
      </c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>
        <v>0.12</v>
      </c>
      <c r="BF9" s="13"/>
      <c r="BG9" s="13"/>
      <c r="BH9" s="13"/>
      <c r="BI9" s="13"/>
      <c r="BJ9" s="13"/>
      <c r="BK9" s="13"/>
    </row>
    <row r="10" spans="1:63" ht="16.5" thickBot="1" x14ac:dyDescent="0.3">
      <c r="A10" s="7" t="s">
        <v>59</v>
      </c>
      <c r="B10" s="11"/>
      <c r="C10" s="11" t="str">
        <f>IF(AND(Watchlist[[#This Row],[TA Approved]]=TRUE,Watchlist[[#This Row],[Rule '#1 Approval]]=TRUE),"BUY",IF(AND(Watchlist[[#This Row],[TA Approved]]=FALSE,OR(Watchlist[[#This Row],[Rule '#1 Approval]]=TRUE,Watchlist[[#This Row],[Rule '#1 Approval]]="WAIT")),"WAIT","NOT BUY"))</f>
        <v>BUY</v>
      </c>
      <c r="D10" s="7"/>
      <c r="E10" s="7" t="b">
        <f>IF(COUNTIF(Watchlist[[#This Row],[MACD Status]:[Stochastics Status]],"BUY")=3,TRUE,FALSE)</f>
        <v>1</v>
      </c>
      <c r="F10" s="11" t="s">
        <v>79</v>
      </c>
      <c r="G10" s="11" t="s">
        <v>79</v>
      </c>
      <c r="H10" s="11" t="s">
        <v>79</v>
      </c>
      <c r="I10" s="7" t="b">
        <v>1</v>
      </c>
      <c r="J10" s="7"/>
      <c r="K10" s="11"/>
      <c r="L10" s="7"/>
      <c r="M10" s="11"/>
      <c r="N10" s="11"/>
      <c r="O10" s="11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>
        <v>0.1</v>
      </c>
      <c r="BF10" s="13"/>
      <c r="BG10" s="13"/>
      <c r="BH10" s="13"/>
      <c r="BI10" s="13"/>
      <c r="BJ10" s="13"/>
      <c r="BK10" s="13"/>
    </row>
    <row r="11" spans="1:63" ht="16.5" thickBot="1" x14ac:dyDescent="0.3">
      <c r="A11" s="7" t="s">
        <v>58</v>
      </c>
      <c r="B11" s="11"/>
      <c r="C11" s="11" t="str">
        <f>IF(AND(Watchlist[[#This Row],[TA Approved]]=TRUE,Watchlist[[#This Row],[Rule '#1 Approval]]=TRUE),"BUY",IF(AND(Watchlist[[#This Row],[TA Approved]]=FALSE,OR(Watchlist[[#This Row],[Rule '#1 Approval]]=TRUE,Watchlist[[#This Row],[Rule '#1 Approval]]="WAIT")),"WAIT","NOT BUY"))</f>
        <v>NOT BUY</v>
      </c>
      <c r="D11" s="7"/>
      <c r="E11" s="7" t="b">
        <f>IF(COUNTIF(Watchlist[[#This Row],[MACD Status]:[Stochastics Status]],"BUY")=3,TRUE,FALSE)</f>
        <v>0</v>
      </c>
      <c r="F11" s="11"/>
      <c r="G11" s="11"/>
      <c r="H11" s="11" t="s">
        <v>80</v>
      </c>
      <c r="I11" s="7"/>
      <c r="J11" s="7"/>
      <c r="K11" s="11"/>
      <c r="L11" s="7"/>
      <c r="M11" s="11"/>
      <c r="N11" s="11"/>
      <c r="O11" s="11" t="s">
        <v>81</v>
      </c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>
        <v>0.09</v>
      </c>
      <c r="BF11" s="13"/>
      <c r="BG11" s="13"/>
      <c r="BH11" s="13"/>
      <c r="BI11" s="13"/>
      <c r="BJ11" s="13"/>
      <c r="BK11" s="13"/>
    </row>
    <row r="12" spans="1:63" ht="16.5" thickBot="1" x14ac:dyDescent="0.3">
      <c r="A12" s="7" t="s">
        <v>60</v>
      </c>
      <c r="B12" s="11"/>
      <c r="C12" s="11" t="str">
        <f>IF(AND(Watchlist[[#This Row],[TA Approved]]=TRUE,Watchlist[[#This Row],[Rule '#1 Approval]]=TRUE),"BUY",IF(AND(Watchlist[[#This Row],[TA Approved]]=FALSE,OR(Watchlist[[#This Row],[Rule '#1 Approval]]=TRUE,Watchlist[[#This Row],[Rule '#1 Approval]]="WAIT")),"WAIT","NOT BUY"))</f>
        <v>NOT BUY</v>
      </c>
      <c r="D12" s="7"/>
      <c r="E12" s="7" t="b">
        <f>IF(COUNTIF(Watchlist[[#This Row],[MACD Status]:[Stochastics Status]],"BUY")=3,TRUE,FALSE)</f>
        <v>0</v>
      </c>
      <c r="F12" s="11"/>
      <c r="G12" s="11"/>
      <c r="H12" s="11"/>
      <c r="I12" s="7"/>
      <c r="J12" s="7"/>
      <c r="K12" s="11"/>
      <c r="L12" s="7"/>
      <c r="M12" s="11"/>
      <c r="N12" s="11"/>
      <c r="O12" s="11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>
        <v>0.08</v>
      </c>
      <c r="BF12" s="13"/>
      <c r="BG12" s="13"/>
      <c r="BH12" s="13"/>
      <c r="BI12" s="13"/>
      <c r="BJ12" s="13"/>
      <c r="BK12" s="13"/>
    </row>
    <row r="13" spans="1:63" ht="16.5" thickBot="1" x14ac:dyDescent="0.3">
      <c r="A13" s="7" t="s">
        <v>58</v>
      </c>
      <c r="B13" s="11"/>
      <c r="C13" s="11" t="str">
        <f>IF(AND(Watchlist[[#This Row],[TA Approved]]=TRUE,Watchlist[[#This Row],[Rule '#1 Approval]]=TRUE),"BUY",IF(AND(Watchlist[[#This Row],[TA Approved]]=FALSE,OR(Watchlist[[#This Row],[Rule '#1 Approval]]=TRUE,Watchlist[[#This Row],[Rule '#1 Approval]]="WAIT")),"WAIT","NOT BUY"))</f>
        <v>NOT BUY</v>
      </c>
      <c r="D13" s="7"/>
      <c r="E13" s="7" t="b">
        <f>IF(COUNTIF(Watchlist[[#This Row],[MACD Status]:[Stochastics Status]],"BUY")=3,TRUE,FALSE)</f>
        <v>0</v>
      </c>
      <c r="F13" s="11"/>
      <c r="G13" s="11"/>
      <c r="H13" s="11"/>
      <c r="I13" s="7"/>
      <c r="J13" s="7"/>
      <c r="K13" s="11"/>
      <c r="L13" s="7"/>
      <c r="M13" s="11"/>
      <c r="N13" s="11"/>
      <c r="O13" s="11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>
        <v>7.0000000000000007E-2</v>
      </c>
      <c r="BF13" s="13"/>
      <c r="BG13" s="13"/>
      <c r="BH13" s="13"/>
      <c r="BI13" s="13"/>
      <c r="BJ13" s="13"/>
      <c r="BK13" s="13"/>
    </row>
    <row r="14" spans="1:63" x14ac:dyDescent="0.25">
      <c r="A14" s="7" t="s">
        <v>61</v>
      </c>
      <c r="B14" s="11"/>
      <c r="C14" s="11" t="str">
        <f>IF(AND(Watchlist[[#This Row],[TA Approved]]=TRUE,Watchlist[[#This Row],[Rule '#1 Approval]]=TRUE),"BUY",IF(AND(Watchlist[[#This Row],[TA Approved]]=FALSE,OR(Watchlist[[#This Row],[Rule '#1 Approval]]=TRUE,Watchlist[[#This Row],[Rule '#1 Approval]]="WAIT")),"WAIT","NOT BUY"))</f>
        <v>NOT BUY</v>
      </c>
      <c r="D14" s="7"/>
      <c r="E14" s="7" t="b">
        <f>IF(COUNTIF(Watchlist[[#This Row],[MACD Status]:[Stochastics Status]],"BUY")=3,TRUE,FALSE)</f>
        <v>0</v>
      </c>
      <c r="F14" s="11"/>
      <c r="G14" s="11"/>
      <c r="H14" s="11"/>
      <c r="I14" s="7"/>
      <c r="J14" s="7"/>
      <c r="K14" s="11"/>
      <c r="L14" s="7"/>
      <c r="M14" s="11"/>
      <c r="N14" s="11"/>
      <c r="O14" s="11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</row>
  </sheetData>
  <mergeCells count="7">
    <mergeCell ref="AR6:BK6"/>
    <mergeCell ref="A6:C6"/>
    <mergeCell ref="E6:H6"/>
    <mergeCell ref="I6:Q6"/>
    <mergeCell ref="R6:X6"/>
    <mergeCell ref="AJ6:AQ6"/>
    <mergeCell ref="Y6:AI6"/>
  </mergeCells>
  <phoneticPr fontId="5" type="noConversion"/>
  <conditionalFormatting sqref="E8:E14">
    <cfRule type="cellIs" dxfId="23" priority="24" operator="equal">
      <formula>FALSE</formula>
    </cfRule>
    <cfRule type="cellIs" dxfId="22" priority="25" operator="equal">
      <formula>TRUE</formula>
    </cfRule>
  </conditionalFormatting>
  <conditionalFormatting sqref="I8:I14">
    <cfRule type="cellIs" dxfId="21" priority="5" operator="equal">
      <formula>"WAIT"</formula>
    </cfRule>
    <cfRule type="cellIs" dxfId="20" priority="22" operator="equal">
      <formula>FALSE</formula>
    </cfRule>
    <cfRule type="cellIs" dxfId="19" priority="23" operator="equal">
      <formula>TRUE</formula>
    </cfRule>
  </conditionalFormatting>
  <conditionalFormatting sqref="K8:K14">
    <cfRule type="cellIs" dxfId="18" priority="20" operator="equal">
      <formula>FALSE</formula>
    </cfRule>
    <cfRule type="cellIs" dxfId="17" priority="21" operator="equal">
      <formula>TRUE</formula>
    </cfRule>
  </conditionalFormatting>
  <conditionalFormatting sqref="M8:M14">
    <cfRule type="cellIs" dxfId="16" priority="18" operator="equal">
      <formula>FALSE</formula>
    </cfRule>
    <cfRule type="cellIs" dxfId="15" priority="19" operator="equal">
      <formula>TRUE</formula>
    </cfRule>
  </conditionalFormatting>
  <conditionalFormatting sqref="N8:N14">
    <cfRule type="cellIs" dxfId="14" priority="16" operator="equal">
      <formula>FALSE</formula>
    </cfRule>
    <cfRule type="cellIs" dxfId="13" priority="17" operator="equal">
      <formula>TRUE</formula>
    </cfRule>
  </conditionalFormatting>
  <conditionalFormatting sqref="O8:O14">
    <cfRule type="cellIs" dxfId="12" priority="4" operator="equal">
      <formula>"TO DO"</formula>
    </cfRule>
    <cfRule type="cellIs" dxfId="11" priority="14" operator="equal">
      <formula>FALSE</formula>
    </cfRule>
    <cfRule type="cellIs" dxfId="10" priority="15" operator="equal">
      <formula>TRUE</formula>
    </cfRule>
  </conditionalFormatting>
  <conditionalFormatting sqref="C8:C14">
    <cfRule type="cellIs" dxfId="9" priority="11" operator="equal">
      <formula>"WAIT"</formula>
    </cfRule>
    <cfRule type="cellIs" dxfId="8" priority="12" operator="equal">
      <formula>"NOT BUY"</formula>
    </cfRule>
    <cfRule type="cellIs" dxfId="7" priority="13" operator="equal">
      <formula>"BUY"</formula>
    </cfRule>
  </conditionalFormatting>
  <conditionalFormatting sqref="F8:H14">
    <cfRule type="cellIs" dxfId="6" priority="9" operator="equal">
      <formula>"SELL"</formula>
    </cfRule>
    <cfRule type="cellIs" dxfId="5" priority="10" operator="equal">
      <formula>"BUY"</formula>
    </cfRule>
  </conditionalFormatting>
  <conditionalFormatting sqref="AJ8:BK14">
    <cfRule type="cellIs" dxfId="4" priority="6" operator="greaterThanOrEqual">
      <formula>10%</formula>
    </cfRule>
    <cfRule type="cellIs" dxfId="3" priority="7" operator="greaterThanOrEqual">
      <formula>8%</formula>
    </cfRule>
    <cfRule type="cellIs" dxfId="2" priority="8" operator="lessThan">
      <formula>8%</formula>
    </cfRule>
  </conditionalFormatting>
  <conditionalFormatting sqref="D8:D14">
    <cfRule type="cellIs" dxfId="1" priority="1" operator="equal">
      <formula>FALSE</formula>
    </cfRule>
    <cfRule type="cellIs" dxfId="0" priority="2" operator="equal">
      <formula>TRUE</formula>
    </cfRule>
  </conditionalFormatting>
  <dataValidations count="1">
    <dataValidation type="list" allowBlank="1" showInputMessage="1" showErrorMessage="1" sqref="F8:H14" xr:uid="{411D0423-3F63-4069-A20E-674D7E7AB008}">
      <formula1>"BUY,SELL"</formula1>
    </dataValidation>
  </dataValidations>
  <pageMargins left="0.75" right="0.75" top="1" bottom="1" header="0.5" footer="0.5"/>
  <pageSetup paperSize="9" orientation="portrait" horizontalDpi="300" verticalDpi="30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G37" sqref="G37"/>
    </sheetView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105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13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Portfolio</vt:lpstr>
      <vt:lpstr>Screener</vt:lpstr>
      <vt:lpstr>Watchlist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diego heer</cp:lastModifiedBy>
  <dcterms:created xsi:type="dcterms:W3CDTF">2015-01-25T11:31:25Z</dcterms:created>
  <dcterms:modified xsi:type="dcterms:W3CDTF">2021-01-03T22:58:23Z</dcterms:modified>
</cp:coreProperties>
</file>