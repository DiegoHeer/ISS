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649C8A54-215C-4692-9680-D11B070B75B9}" xr6:coauthVersionLast="46" xr6:coauthVersionMax="46" xr10:uidLastSave="{00000000-0000-0000-0000-000000000000}"/>
  <bookViews>
    <workbookView xWindow="-120" yWindow="-120" windowWidth="38640" windowHeight="21240" tabRatio="500" activeTab="1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6" l="1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<sst xmlns="http://schemas.openxmlformats.org/spreadsheetml/2006/main" count="537" uniqueCount="241">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</sst>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9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58"/>
      <tableStyleElement type="headerRow" dxfId="157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89CB107F-5030-440F-9DEA-BF3D531A2D05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C314DAE2-50E3-4185-9E3D-01C6002EAA57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C79502D3-6282-49A5-8652-4629AA492B52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6" dataDxfId="154" headerRowBorderDxfId="155" tableBorderDxfId="153">
  <autoFilter ref="A7:BR10" xr:uid="{6CDB2E93-AF10-413B-8141-0F9FDD16296B}"/>
  <tableColumns count="70">
    <tableColumn id="1" xr3:uid="{F17078EB-4E09-4FB6-AA70-A64C231F3B47}" name="Ticker" dataDxfId="152"/>
    <tableColumn id="16385" xr3:uid="{7536DA4D-E39F-4C51-B820-294E2665DD8A}" name="Status" dataDxfId="151"/>
    <tableColumn id="16402" xr3:uid="{A74FFAB5-F166-4A92-958A-4D88B9FCC331}" name="Action" dataDxfId="15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49"/>
    <tableColumn id="16398" xr3:uid="{32265C11-D45A-4DA4-900F-9C5D051DBEF6}" name="TA Approved" dataDxfId="148">
      <calculatedColumnFormula>IF(COUNTIF(Watchlist[[#This Row],[MACD Status]:[Stochastics Status]],"BUY")=3,TRUE,FALSE)</calculatedColumnFormula>
    </tableColumn>
    <tableColumn id="16401" xr3:uid="{803F7478-66D1-40B0-AEE5-DEF26EBA104C}" name="MACD Status" dataDxfId="147"/>
    <tableColumn id="16400" xr3:uid="{39AD2D20-27F2-4E5B-BCEF-C2B1E39358F7}" name="MA Status" dataDxfId="146"/>
    <tableColumn id="16399" xr3:uid="{D308828C-EFF5-4B8F-813C-A525FA22DE3D}" name="Stochastics Status" dataDxfId="145"/>
    <tableColumn id="16397" xr3:uid="{2EB690B7-B7F9-4587-951A-77884655B3F9}" name="Rule #1 Approval" dataDxfId="144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3"/>
    <tableColumn id="16392" xr3:uid="{9589A386-14C6-4D33-B91A-F9E908CFCE42}" name="Meaning Approved" dataDxfId="142"/>
    <tableColumn id="16394" xr3:uid="{AE55419D-0DCE-4144-9CF4-87FA13DA99DA}" name="MOAT Type" dataDxfId="141"/>
    <tableColumn id="8" xr3:uid="{A5BDCB41-FBB7-45D6-8348-D7BE89EC3A0D}" name="MOAT Approved" dataDxfId="140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39"/>
    <tableColumn id="16395" xr3:uid="{BBDDB370-0C2F-43FB-9F9C-087FCD21122E}" name="Management Approved" dataDxfId="138"/>
    <tableColumn id="16388" xr3:uid="{72293751-9810-4DE1-B7B1-FC20348A6ACD}" name="Sticker Price" dataDxfId="137"/>
    <tableColumn id="16389" xr3:uid="{05A93DFF-E2D3-42D7-9205-4F24357A5432}" name="MOS" dataDxfId="136"/>
    <tableColumn id="16390" xr3:uid="{E2EB8DD4-561D-491F-8171-A15A8C32A99C}" name="Stock Price" dataDxfId="135"/>
    <tableColumn id="6" xr3:uid="{A251D79D-A404-474C-9383-6FF22E8E1592}" name="Currency" dataDxfId="134"/>
    <tableColumn id="2" xr3:uid="{BD79A27D-679D-472B-BCF4-8439A90A1262}" name="Company Name" dataDxfId="133"/>
    <tableColumn id="3" xr3:uid="{24C639FE-E3E3-4214-89B3-4E649E2AC404}" name="Sector" dataDxfId="132"/>
    <tableColumn id="4" xr3:uid="{737653E7-60F3-4587-9488-B3B2385D9697}" name="Industry" dataDxfId="131"/>
    <tableColumn id="5" xr3:uid="{BA7C846D-CFB8-4E31-9FB3-D1AC613346FE}" name="Country" dataDxfId="130"/>
    <tableColumn id="7" xr3:uid="{5FC50652-9158-4869-B14F-098FB6EEB8F3}" name="Exchange" dataDxfId="129"/>
    <tableColumn id="34" xr3:uid="{6955106D-0785-4AC8-B6EF-D213C9BA00C0}" name="Analyst GR" dataDxfId="128"/>
    <tableColumn id="35" xr3:uid="{FC8ADC95-3B95-4CA2-8409-DE889BA373A1}" name="Equity GR" dataDxfId="127"/>
    <tableColumn id="36" xr3:uid="{546A11DF-7D72-42A0-B8B6-E2C8E9760DEA}" name="EPS GR" dataDxfId="126"/>
    <tableColumn id="63" xr3:uid="{6A96748F-F02A-47C0-BFF7-EA78C039CAF6}" name="Current EPS" dataDxfId="125"/>
    <tableColumn id="37" xr3:uid="{6A5FC5DD-AE9D-426E-A2A3-B28C47640794}" name="Future EPS" dataDxfId="124"/>
    <tableColumn id="42" xr3:uid="{82E4DA8A-EC15-4D7A-B45C-B26434FAEE26}" name="Av. Hist. PE" dataDxfId="123"/>
    <tableColumn id="43" xr3:uid="{A9BA0FF1-B865-4B67-8CA3-C19E7D6D2B04}" name="Default PE" dataDxfId="122"/>
    <tableColumn id="44" xr3:uid="{974812A1-0B60-4E60-BD79-096213337B43}" name="Future PE" dataDxfId="121"/>
    <tableColumn id="45" xr3:uid="{4CA4BE66-964B-4400-9E69-7950541789E2}" name="Forward PE" dataDxfId="120"/>
    <tableColumn id="46" xr3:uid="{88497CD8-B4DD-4087-9CA6-791AF96E197A}" name="Future Market Price" dataDxfId="119"/>
    <tableColumn id="47" xr3:uid="{BBD95E6C-D3AB-4A03-BC32-9ABCE81D0D3F}" name="Market Cap." dataDxfId="118"/>
    <tableColumn id="54" xr3:uid="{2CBC8F12-E130-4BB1-BA8C-5BFA54D0C3B8}" name="ROIC Approval" dataDxfId="117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6" dataCellStyle="Percent"/>
    <tableColumn id="11" xr3:uid="{F86044E0-13E7-473C-8DAE-5CE00244C1B1}" name="ROIC - 5-year" dataDxfId="115" dataCellStyle="Percent"/>
    <tableColumn id="12" xr3:uid="{002BFA32-265B-4944-B409-A5C1BF074729}" name="ROIC - 3-year" dataDxfId="114" dataCellStyle="Percent"/>
    <tableColumn id="13" xr3:uid="{FF755BD7-3DE7-40FD-A2C7-385964E01DE0}" name="ROIC - 1-year" dataDxfId="113" dataCellStyle="Percent"/>
    <tableColumn id="53" xr3:uid="{A7DAED2A-D6A8-44E3-96A0-FDFAB6F89BAF}" name="ROIC QuickFS Approval" dataDxfId="112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1" dataCellStyle="Percent"/>
    <tableColumn id="15" xr3:uid="{DA908BF4-9E9B-43DF-BE83-474D5D78DF14}" name="ROIC QuickFS - 5-year" dataDxfId="110" dataCellStyle="Percent"/>
    <tableColumn id="16" xr3:uid="{1A575379-DA11-4F97-B3E1-17E8FAF1AF3F}" name="ROIC QuickFS - 3-year" dataDxfId="109" dataCellStyle="Percent"/>
    <tableColumn id="17" xr3:uid="{07E12253-12DD-4735-B9FD-47638809999B}" name="ROIC QuickFS - 1-year" dataDxfId="108" dataCellStyle="Percent"/>
    <tableColumn id="52" xr3:uid="{85843C73-9A8B-43A5-B0B1-4742C832301F}" name="Equity Approval" dataDxfId="107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51" xr3:uid="{8A8BA406-BDD6-4FFB-8E02-75B4E15937D4}" name="EPS Approval" dataDxfId="102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1" dataCellStyle="Percent"/>
    <tableColumn id="23" xr3:uid="{328D7F25-E21A-489C-8F28-3C84008A4390}" name="EPS - 5-year" dataDxfId="100" dataCellStyle="Percent"/>
    <tableColumn id="24" xr3:uid="{E9AC8CB0-A05A-4F87-B1F2-933EE0E49EE8}" name="EPS - 3-year" dataDxfId="99" dataCellStyle="Percent"/>
    <tableColumn id="25" xr3:uid="{91EA8E49-641D-4B95-B9A9-F19CBAD0AB63}" name="EPS - 1-year" dataDxfId="98" dataCellStyle="Percent"/>
    <tableColumn id="50" xr3:uid="{7B593F28-46E5-43FE-A533-F456848FC41B}" name="Sales Approval" dataDxfId="97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6" dataCellStyle="Percent"/>
    <tableColumn id="27" xr3:uid="{3BAEF80D-3A72-44FE-AC92-C07B728AD3EF}" name="Sales - 5-year" dataDxfId="95" dataCellStyle="Percent"/>
    <tableColumn id="28" xr3:uid="{36434464-2A6E-4B37-B007-969DA3C697F5}" name="Sales - 3-year" dataDxfId="94" dataCellStyle="Percent"/>
    <tableColumn id="29" xr3:uid="{3DFB5249-230D-4544-A4D4-D20ACA7DA77C}" name="Sales - 1-year" dataDxfId="93" dataCellStyle="Percent"/>
    <tableColumn id="49" xr3:uid="{8D6B81A9-04B1-4882-A726-98AAB1248B2B}" name="FCF Approval" dataDxfId="92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1" dataCellStyle="Percent"/>
    <tableColumn id="31" xr3:uid="{F78ABE31-2733-4CA7-9E02-E6566F2F96D5}" name="FCF - 5-year" dataDxfId="90" dataCellStyle="Percent"/>
    <tableColumn id="32" xr3:uid="{9E2C7FB5-6E96-470D-BEF2-CCBAC0FEF313}" name="FCF - 3-year" dataDxfId="89" dataCellStyle="Percent"/>
    <tableColumn id="33" xr3:uid="{09A9831F-08F6-404B-A83A-857CEAE3F5C2}" name="FCF - 1-year" dataDxfId="88" dataCellStyle="Percent"/>
    <tableColumn id="48" xr3:uid="{3C6D155E-9D2C-4E40-8EA3-F86AAAA8D06A}" name="OCF Approval" dataDxfId="87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6" dataCellStyle="Percent"/>
    <tableColumn id="39" xr3:uid="{94B8F2C6-687E-43F6-8086-81683834E13E}" name="OCF - 5-year" dataDxfId="85" dataCellStyle="Percent"/>
    <tableColumn id="40" xr3:uid="{D9F88DDD-C4A2-49B4-A21C-E80445943D2A}" name="OCF - 3-year" dataDxfId="84" dataCellStyle="Percent"/>
    <tableColumn id="41" xr3:uid="{2BA1CDC7-B3AC-45B9-A074-75D3F8C963EB}" name="OCF - 1-year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2" dataDxfId="80" headerRowBorderDxfId="81" tableBorderDxfId="79">
  <autoFilter ref="A7:AS51" xr:uid="{B6C175EA-E577-469E-830C-2B667407291E}"/>
  <tableColumns count="45">
    <tableColumn id="1" xr3:uid="{534DD1C6-3D4D-46FD-BD5D-230A911F8436}" name="Ticker" dataDxfId="78"/>
    <tableColumn id="16385" xr3:uid="{FEBF2A17-6BED-4FD2-89F3-2C82FACA6BA5}" name="Status" dataDxfId="77"/>
    <tableColumn id="2" xr3:uid="{422455F4-5F15-48E4-A1A0-C461B4226096}" name="Company Name" dataDxfId="76"/>
    <tableColumn id="3" xr3:uid="{B1AB9AE0-FCEC-4997-A9A8-BE4417451404}" name="Sector" dataDxfId="75"/>
    <tableColumn id="4" xr3:uid="{E13B7241-8458-48D3-8A3B-A7EDEB396173}" name="Industry" dataDxfId="74"/>
    <tableColumn id="5" xr3:uid="{40110713-A5A9-4B98-AC3E-78904E353072}" name="Country" dataDxfId="73"/>
    <tableColumn id="6" xr3:uid="{5A5FC46A-98B7-468D-994A-9BE92E0AA10D}" name="Currency" dataDxfId="72"/>
    <tableColumn id="7" xr3:uid="{5402D95A-C668-453A-98D1-8EE56655731E}" name="Exchange" dataDxfId="71"/>
    <tableColumn id="8" xr3:uid="{752557E2-6B5E-4D4C-A1CA-00359A8D7DED}" name="MOAT Approval" dataDxfId="70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69"/>
    <tableColumn id="34" xr3:uid="{F5C0E4C5-AB63-417C-B135-8BA20F75107F}" name="ROIC Approval" dataDxfId="68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7" dataCellStyle="Percent"/>
    <tableColumn id="11" xr3:uid="{FD8762E8-E2C4-401A-9CAB-5FE43F0BF203}" name="ROIC - 5-year" dataDxfId="66" dataCellStyle="Percent"/>
    <tableColumn id="12" xr3:uid="{F03AC37F-13C7-4DB2-9DC6-DA1EC1875518}" name="ROIC - 3-year" dataDxfId="65" dataCellStyle="Percent"/>
    <tableColumn id="13" xr3:uid="{EE563FB7-83BC-4717-AF26-8A954A3BA950}" name="ROIC - 1-year" dataDxfId="64" dataCellStyle="Percent"/>
    <tableColumn id="35" xr3:uid="{14E097A7-8FE4-46E4-8ACC-D98174C4BD64}" name="ROIC QuickFS Approval" dataDxfId="6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2" dataCellStyle="Percent"/>
    <tableColumn id="15" xr3:uid="{5BBD9D88-7981-4E1E-8712-EBD3FDBED01B}" name="ROIC QuickFS - 5-year" dataDxfId="61" dataCellStyle="Percent"/>
    <tableColumn id="16" xr3:uid="{D5ABD411-64EA-4C11-BABE-5B5EACBCB940}" name="ROIC QuickFS - 3-year" dataDxfId="60" dataCellStyle="Percent"/>
    <tableColumn id="17" xr3:uid="{018C2735-6F2F-4A9B-8574-F78EDA9C123E}" name="ROIC QuickFS - 1-year" dataDxfId="59" dataCellStyle="Percent"/>
    <tableColumn id="36" xr3:uid="{2D2CC976-5151-4D5C-B824-5E04EEABB52F}" name="Equity Approval" dataDxfId="58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7" dataCellStyle="Percent"/>
    <tableColumn id="19" xr3:uid="{5CB24877-2B81-4B28-8293-9E3DA55C6E55}" name="Equity - 5-year" dataDxfId="56" dataCellStyle="Percent"/>
    <tableColumn id="20" xr3:uid="{5AB60461-E9FE-4F73-96D2-47990A7720BF}" name="Equity - 3-year" dataDxfId="55" dataCellStyle="Percent"/>
    <tableColumn id="21" xr3:uid="{EA2580E9-23E6-4320-951F-4FBA4C971DD8}" name="Equity - 1-year" dataDxfId="54" dataCellStyle="Percent"/>
    <tableColumn id="37" xr3:uid="{1780058E-B1FD-449E-9291-B2188941DE3F}" name="EPS Approval" dataDxfId="53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2" dataCellStyle="Percent"/>
    <tableColumn id="23" xr3:uid="{DFDF703B-A8F3-460E-8CD4-741B792B789E}" name="EPS - 5-year" dataDxfId="51" dataCellStyle="Percent"/>
    <tableColumn id="24" xr3:uid="{A727A240-400B-4A80-8F6D-A8FE56D4E510}" name="EPS - 3-year" dataDxfId="50" dataCellStyle="Percent"/>
    <tableColumn id="25" xr3:uid="{CC9561F0-2713-469E-B92F-A7C2D35BFA16}" name="EPS - 1-year" dataDxfId="49" dataCellStyle="Percent"/>
    <tableColumn id="42" xr3:uid="{5043754A-CAFA-47FE-8316-DF22131AA17C}" name="Sales Approval" dataDxfId="48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7" dataCellStyle="Percent"/>
    <tableColumn id="27" xr3:uid="{304595E7-4E93-42A5-99E0-7E0020AEECCC}" name="Sales - 5-year" dataDxfId="46" dataCellStyle="Percent"/>
    <tableColumn id="28" xr3:uid="{ADDF7DE2-928D-4A03-9DD0-7359CC50CD40}" name="Sales - 3-year" dataDxfId="45" dataCellStyle="Percent"/>
    <tableColumn id="29" xr3:uid="{DC3D83C0-C4C6-4CB5-A68D-1ECA3DCDA006}" name="Sales - 1-year" dataDxfId="44" dataCellStyle="Percent"/>
    <tableColumn id="43" xr3:uid="{1A19CF5F-21F9-4648-94DB-3F898BF02395}" name="FCF Approval" dataDxfId="43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2" dataCellStyle="Percent"/>
    <tableColumn id="31" xr3:uid="{2EBA2C20-1D09-4B47-A28A-9F1BDCFF634A}" name="FCF - 5-year" dataDxfId="41" dataCellStyle="Percent"/>
    <tableColumn id="32" xr3:uid="{E0A800AD-8994-4F75-8D37-6B2D79EBC7FC}" name="FCF - 3-year" dataDxfId="40" dataCellStyle="Percent"/>
    <tableColumn id="33" xr3:uid="{5C8391EA-BBAC-49D8-AF31-32C448684F7E}" name="FCF - 1-year" dataDxfId="39" dataCellStyle="Percent"/>
    <tableColumn id="44" xr3:uid="{69917E2C-DD82-47CA-A8AF-17F4BE1A005E}" name="OCF Approval" dataDxfId="38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7" dataCellStyle="Percent"/>
    <tableColumn id="39" xr3:uid="{905C015A-4CC2-4C75-AF5D-9967E577BE8A}" name="OCF - 5-year" dataDxfId="36" dataCellStyle="Percent"/>
    <tableColumn id="40" xr3:uid="{AF05594A-3B54-472C-9BAB-E549048A82C5}" name="OCF - 3-year" dataDxfId="35" dataCellStyle="Percent"/>
    <tableColumn id="41" xr3:uid="{034452F7-14A4-4340-8D02-66681D344173}" name="OCF - 1-year" dataDxfId="34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tabSelected="1"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F14" sqref="F14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625" style="4" bestFit="1" customWidth="1"/>
    <col min="37" max="37" width="17.5" style="4" bestFit="1" customWidth="1"/>
    <col min="38" max="40" width="16.25" style="4" bestFit="1" customWidth="1"/>
    <col min="41" max="41" width="26.25" style="4" bestFit="1" customWidth="1"/>
    <col min="42" max="42" width="26.125" style="4" bestFit="1" customWidth="1"/>
    <col min="43" max="45" width="24.875" style="4" bestFit="1" customWidth="1"/>
    <col min="46" max="46" width="19" style="4" bestFit="1" customWidth="1"/>
    <col min="47" max="47" width="18.875" style="4" bestFit="1" customWidth="1"/>
    <col min="48" max="50" width="17.625" style="4" bestFit="1" customWidth="1"/>
    <col min="51" max="51" width="16.25" style="4" bestFit="1" customWidth="1"/>
    <col min="52" max="52" width="16.125" style="4" bestFit="1" customWidth="1"/>
    <col min="53" max="55" width="14.75" style="4" bestFit="1" customWidth="1"/>
    <col min="56" max="56" width="17.875" style="4" bestFit="1" customWidth="1"/>
    <col min="57" max="57" width="17.75" style="4" bestFit="1" customWidth="1"/>
    <col min="58" max="60" width="16.5" style="4" bestFit="1" customWidth="1"/>
    <col min="61" max="61" width="16.25" style="4" bestFit="1" customWidth="1"/>
    <col min="62" max="62" width="16.125" style="4" bestFit="1" customWidth="1"/>
    <col min="63" max="65" width="14.75" style="4" bestFit="1" customWidth="1"/>
    <col min="66" max="66" width="16.75" style="4" bestFit="1" customWidth="1"/>
    <col min="67" max="67" width="16.625" style="4" bestFit="1" customWidth="1"/>
    <col min="68" max="70" width="15.375" style="4" bestFit="1" customWidth="1"/>
    <col min="71" max="16384" width="11" style="4"/>
  </cols>
  <sheetData>
    <row r="5" spans="1:70" ht="16.5" thickBot="1" x14ac:dyDescent="0.3"/>
    <row r="6" spans="1:70" ht="19.5" thickBot="1" x14ac:dyDescent="0.35">
      <c r="A6" s="18" t="s">
        <v>72</v>
      </c>
      <c r="B6" s="19"/>
      <c r="C6" s="19"/>
      <c r="D6" s="9"/>
      <c r="E6" s="18" t="s">
        <v>73</v>
      </c>
      <c r="F6" s="19"/>
      <c r="G6" s="19"/>
      <c r="H6" s="20"/>
      <c r="I6" s="18" t="s">
        <v>60</v>
      </c>
      <c r="J6" s="19"/>
      <c r="K6" s="19"/>
      <c r="L6" s="19"/>
      <c r="M6" s="19"/>
      <c r="N6" s="19"/>
      <c r="O6" s="19"/>
      <c r="P6" s="19"/>
      <c r="Q6" s="20"/>
      <c r="R6" s="18" t="s">
        <v>34</v>
      </c>
      <c r="S6" s="19"/>
      <c r="T6" s="19"/>
      <c r="U6" s="19"/>
      <c r="V6" s="19"/>
      <c r="W6" s="19"/>
      <c r="X6" s="20"/>
      <c r="Y6" s="18" t="s">
        <v>82</v>
      </c>
      <c r="Z6" s="19"/>
      <c r="AA6" s="19"/>
      <c r="AB6" s="19"/>
      <c r="AC6" s="19"/>
      <c r="AD6" s="19"/>
      <c r="AE6" s="19"/>
      <c r="AF6" s="19"/>
      <c r="AG6" s="19"/>
      <c r="AH6" s="19"/>
      <c r="AI6" s="20"/>
      <c r="AJ6" s="18" t="s">
        <v>14</v>
      </c>
      <c r="AK6" s="19"/>
      <c r="AL6" s="19"/>
      <c r="AM6" s="19"/>
      <c r="AN6" s="19"/>
      <c r="AO6" s="19"/>
      <c r="AP6" s="19"/>
      <c r="AQ6" s="19"/>
      <c r="AR6" s="19"/>
      <c r="AS6" s="20"/>
      <c r="AT6" s="18" t="s">
        <v>36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</row>
    <row r="7" spans="1:70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121</v>
      </c>
      <c r="AK7" s="8" t="s">
        <v>22</v>
      </c>
      <c r="AL7" s="8" t="s">
        <v>23</v>
      </c>
      <c r="AM7" s="8" t="s">
        <v>24</v>
      </c>
      <c r="AN7" s="8" t="s">
        <v>25</v>
      </c>
      <c r="AO7" s="8" t="s">
        <v>122</v>
      </c>
      <c r="AP7" s="8" t="s">
        <v>26</v>
      </c>
      <c r="AQ7" s="8" t="s">
        <v>27</v>
      </c>
      <c r="AR7" s="8" t="s">
        <v>28</v>
      </c>
      <c r="AS7" s="8" t="s">
        <v>29</v>
      </c>
      <c r="AT7" s="8" t="s">
        <v>123</v>
      </c>
      <c r="AU7" s="8" t="s">
        <v>40</v>
      </c>
      <c r="AV7" s="8" t="s">
        <v>41</v>
      </c>
      <c r="AW7" s="8" t="s">
        <v>42</v>
      </c>
      <c r="AX7" s="8" t="s">
        <v>43</v>
      </c>
      <c r="AY7" s="8" t="s">
        <v>124</v>
      </c>
      <c r="AZ7" s="8" t="s">
        <v>44</v>
      </c>
      <c r="BA7" s="8" t="s">
        <v>45</v>
      </c>
      <c r="BB7" s="8" t="s">
        <v>46</v>
      </c>
      <c r="BC7" s="8" t="s">
        <v>47</v>
      </c>
      <c r="BD7" s="8" t="s">
        <v>125</v>
      </c>
      <c r="BE7" s="8" t="s">
        <v>48</v>
      </c>
      <c r="BF7" s="8" t="s">
        <v>49</v>
      </c>
      <c r="BG7" s="8" t="s">
        <v>50</v>
      </c>
      <c r="BH7" s="8" t="s">
        <v>51</v>
      </c>
      <c r="BI7" s="8" t="s">
        <v>126</v>
      </c>
      <c r="BJ7" s="8" t="s">
        <v>52</v>
      </c>
      <c r="BK7" s="8" t="s">
        <v>53</v>
      </c>
      <c r="BL7" s="8" t="s">
        <v>54</v>
      </c>
      <c r="BM7" s="8" t="s">
        <v>55</v>
      </c>
      <c r="BN7" s="8" t="s">
        <v>127</v>
      </c>
      <c r="BO7" s="8" t="s">
        <v>56</v>
      </c>
      <c r="BP7" s="8" t="s">
        <v>39</v>
      </c>
      <c r="BQ7" s="8" t="s">
        <v>38</v>
      </c>
      <c r="BR7" s="8" t="s">
        <v>37</v>
      </c>
    </row>
    <row r="8" spans="1:70" ht="16.5" thickBot="1" x14ac:dyDescent="0.3">
      <c r="A8" s="6" t="s">
        <v>75</v>
      </c>
      <c r="B8" s="10" t="s">
        <v>81</v>
      </c>
      <c r="C8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10" t="s">
        <v>233</v>
      </c>
      <c r="E8" s="15" t="b">
        <f>IF(COUNTIF(Watchlist[[#This Row],[MACD Status]:[Stochastics Status]],"BUY")=3,TRUE,FALSE)</f>
        <v>0</v>
      </c>
      <c r="F8" s="10" t="s">
        <v>240</v>
      </c>
      <c r="G8" s="10" t="s">
        <v>240</v>
      </c>
      <c r="H8" s="10" t="s">
        <v>239</v>
      </c>
      <c r="I8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7" t="s">
        <v>236</v>
      </c>
      <c r="K8" s="10" t="b">
        <v>1</v>
      </c>
      <c r="L8" s="7" t="s">
        <v>234</v>
      </c>
      <c r="M8" s="10" t="b">
        <f>IF(COUNTIF(Watchlist[[#This Row],[ROIC Approval]:[OCF - 1-year]],TRUE)&gt;=6,TRUE,IF(COUNTIF(Watchlist[[#This Row],[Debt - Payoff Possible]:[OCF - 1-year]],FALSE)&lt;=3,"CHECK",FALSE))</f>
        <v>1</v>
      </c>
      <c r="N8" s="10" t="b">
        <v>1</v>
      </c>
      <c r="O8" s="10" t="s">
        <v>233</v>
      </c>
      <c r="P8" s="16">
        <v>13650.8256459896</v>
      </c>
      <c r="Q8" s="16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16">
        <v>0.36349999999999999</v>
      </c>
      <c r="Z8" s="16">
        <v>0.38233715609172131</v>
      </c>
      <c r="AA8" s="16">
        <v>0.36349999999999999</v>
      </c>
      <c r="AB8" s="16">
        <v>34.201998972425613</v>
      </c>
      <c r="AC8" s="16">
        <v>759.63140702796557</v>
      </c>
      <c r="AD8" s="16">
        <v>235.94659999999999</v>
      </c>
      <c r="AE8" s="16">
        <v>72.7</v>
      </c>
      <c r="AF8" s="16">
        <v>72.7</v>
      </c>
      <c r="AG8" s="16">
        <v>70.174629999999993</v>
      </c>
      <c r="AH8" s="16">
        <v>55225.203290933103</v>
      </c>
      <c r="AI8" s="7">
        <v>1598894768128</v>
      </c>
      <c r="AJ8" s="10" t="str">
        <f>IF(MIN(Watchlist[[#This Row],[ROIC - 10-year]:[ROIC - 1-year]])&gt;=0.1,TRUE,IF(MIN(Watchlist[[#This Row],[ROIC - 10-year]:[ROIC - 1-year]])&gt;=0.08,"CHECK",FALSE))</f>
        <v>CHECK</v>
      </c>
      <c r="AK8" s="11">
        <v>8.1000000000000003E-2</v>
      </c>
      <c r="AL8" s="11">
        <v>0.1017</v>
      </c>
      <c r="AM8" s="11">
        <v>0.1231</v>
      </c>
      <c r="AN8" s="11">
        <v>0.14119999999999999</v>
      </c>
      <c r="AO8" s="10" t="b">
        <f>IF(MIN(Watchlist[[#This Row],[ROIC QuickFS - 10-year]:[ROIC QuickFS - 1-year]])&gt;=0.1,TRUE,IF(MIN(Watchlist[[#This Row],[ROIC QuickFS - 10-year]:[ROIC QuickFS - 1-year]])&gt;=0.08,"CHECK",FALSE))</f>
        <v>1</v>
      </c>
      <c r="AP8" s="11">
        <v>0.13070000000000001</v>
      </c>
      <c r="AQ8" s="11">
        <v>0.14649999999999999</v>
      </c>
      <c r="AR8" s="11">
        <v>0.16569999999999999</v>
      </c>
      <c r="AS8" s="11">
        <v>0.17280000000000001</v>
      </c>
      <c r="AT8" s="10" t="b">
        <f>IF(MIN(Watchlist[[#This Row],[Equity - 10-year]:[Equity - 1-year]])&gt;=0.1,TRUE,IF(MIN(Watchlist[[#This Row],[Equity - 10-year]:[Equity - 1-year]])&gt;=0.08,"CHECK",FALSE))</f>
        <v>1</v>
      </c>
      <c r="AU8" s="11">
        <v>0.26329999999999998</v>
      </c>
      <c r="AV8" s="11">
        <v>0.3957</v>
      </c>
      <c r="AW8" s="11">
        <v>0.45660000000000001</v>
      </c>
      <c r="AX8" s="11">
        <v>0.4138</v>
      </c>
      <c r="AY8" s="10" t="b">
        <f>IF(MIN(Watchlist[[#This Row],[EPS - 10-year]:[EPS - 1-year]])&gt;=0.1,TRUE,IF(MIN(Watchlist[[#This Row],[EPS - 10-year]:[EPS - 1-year]])&gt;=0.08,"CHECK",FALSE))</f>
        <v>1</v>
      </c>
      <c r="AZ8" s="11">
        <v>0.2742</v>
      </c>
      <c r="BA8" s="11">
        <v>2.1435</v>
      </c>
      <c r="BB8" s="11">
        <v>0.67459999999999998</v>
      </c>
      <c r="BC8" s="11">
        <v>0.14249999999999999</v>
      </c>
      <c r="BD8" s="10" t="b">
        <f>IF(MIN(Watchlist[[#This Row],[Sales - 10-year]:[Sales - 1-year]])&gt;=0.1,TRUE,IF(MIN(Watchlist[[#This Row],[Sales - 10-year]:[Sales - 1-year]])&gt;=0.08,"CHECK",FALSE))</f>
        <v>1</v>
      </c>
      <c r="BE8" s="11">
        <v>0.27600000000000002</v>
      </c>
      <c r="BF8" s="11">
        <v>0.2581</v>
      </c>
      <c r="BG8" s="11">
        <v>0.27300000000000002</v>
      </c>
      <c r="BH8" s="11">
        <v>0.20449999999999999</v>
      </c>
      <c r="BI8" s="10" t="b">
        <f>IF(MIN(Watchlist[[#This Row],[FCF - 10-year]:[FCF - 1-year]])&gt;=0.1,TRUE,IF(MIN(Watchlist[[#This Row],[FCF - 10-year]:[FCF - 1-year]])&gt;=0.08,"CHECK",FALSE))</f>
        <v>1</v>
      </c>
      <c r="BJ8" s="11">
        <v>0.24360000000000001</v>
      </c>
      <c r="BK8" s="11">
        <v>0.67669999999999997</v>
      </c>
      <c r="BL8" s="11">
        <v>0.3513</v>
      </c>
      <c r="BM8" s="11">
        <v>0.33119999999999999</v>
      </c>
      <c r="BN8" s="10" t="b">
        <f>IF(MIN(Watchlist[[#This Row],[OCF - 10-year]:[OCF - 1-year]])&gt;=0.1,TRUE,IF(MIN(Watchlist[[#This Row],[OCF - 10-year]:[OCF - 1-year]])&gt;=0.08,"CHECK",FALSE))</f>
        <v>1</v>
      </c>
      <c r="BO8" s="11">
        <v>0.27879999999999999</v>
      </c>
      <c r="BP8" s="11">
        <v>0.4128</v>
      </c>
      <c r="BQ8" s="11">
        <v>0.30819999999999997</v>
      </c>
      <c r="BR8" s="11">
        <v>0.25359999999999999</v>
      </c>
    </row>
    <row r="9" spans="1:70" ht="16.5" thickBot="1" x14ac:dyDescent="0.3">
      <c r="A9" s="6" t="s">
        <v>78</v>
      </c>
      <c r="B9" s="10" t="s">
        <v>81</v>
      </c>
      <c r="C9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10" t="s">
        <v>233</v>
      </c>
      <c r="E9" s="15" t="b">
        <f>IF(COUNTIF(Watchlist[[#This Row],[MACD Status]:[Stochastics Status]],"BUY")=3,TRUE,FALSE)</f>
        <v>0</v>
      </c>
      <c r="F9" s="10" t="s">
        <v>240</v>
      </c>
      <c r="G9" s="10" t="s">
        <v>240</v>
      </c>
      <c r="H9" s="10" t="s">
        <v>239</v>
      </c>
      <c r="I9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7" t="s">
        <v>99</v>
      </c>
      <c r="K9" s="10" t="b">
        <v>1</v>
      </c>
      <c r="L9" s="7" t="s">
        <v>235</v>
      </c>
      <c r="M9" s="10" t="b">
        <f>IF(COUNTIF(Watchlist[[#This Row],[ROIC Approval]:[OCF - 1-year]],TRUE)&gt;=6,TRUE,IF(COUNTIF(Watchlist[[#This Row],[Debt - Payoff Possible]:[OCF - 1-year]],FALSE)&lt;=3,"CHECK",FALSE))</f>
        <v>1</v>
      </c>
      <c r="N9" s="10" t="b">
        <v>1</v>
      </c>
      <c r="O9" s="10" t="s">
        <v>233</v>
      </c>
      <c r="P9" s="16">
        <v>1463.598538986942</v>
      </c>
      <c r="Q9" s="16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16">
        <v>0.18759999999999999</v>
      </c>
      <c r="Z9" s="16">
        <v>0.14712076024930079</v>
      </c>
      <c r="AA9" s="16">
        <v>0.14712076024930079</v>
      </c>
      <c r="AB9" s="16">
        <v>51.752001568244282</v>
      </c>
      <c r="AC9" s="16">
        <v>204.18251408567679</v>
      </c>
      <c r="AD9" s="16">
        <v>28.998919999999998</v>
      </c>
      <c r="AE9" s="16">
        <v>29.424152049860169</v>
      </c>
      <c r="AF9" s="16">
        <v>28.998919999999998</v>
      </c>
      <c r="AG9" s="16">
        <v>28.187114999999999</v>
      </c>
      <c r="AH9" s="16">
        <v>5921.0723913694146</v>
      </c>
      <c r="AI9" s="7">
        <v>1168148004864</v>
      </c>
      <c r="AJ9" s="10" t="b">
        <f>IF(MIN(Watchlist[[#This Row],[ROIC - 10-year]:[ROIC - 1-year]])&gt;=0.1,TRUE,IF(MIN(Watchlist[[#This Row],[ROIC - 10-year]:[ROIC - 1-year]])&gt;=0.08,"CHECK",FALSE))</f>
        <v>1</v>
      </c>
      <c r="AK9" s="11">
        <v>0.13780000000000001</v>
      </c>
      <c r="AL9" s="11">
        <v>0.13159999999999999</v>
      </c>
      <c r="AM9" s="11">
        <v>0.13189999999999999</v>
      </c>
      <c r="AN9" s="11">
        <v>0.15160000000000001</v>
      </c>
      <c r="AO9" s="10" t="b">
        <f>IF(MIN(Watchlist[[#This Row],[ROIC QuickFS - 10-year]:[ROIC QuickFS - 1-year]])&gt;=0.1,TRUE,IF(MIN(Watchlist[[#This Row],[ROIC QuickFS - 10-year]:[ROIC QuickFS - 1-year]])&gt;=0.08,"CHECK",FALSE))</f>
        <v>1</v>
      </c>
      <c r="AP9" s="11">
        <v>0.18459999999999999</v>
      </c>
      <c r="AQ9" s="11">
        <v>0.16120000000000001</v>
      </c>
      <c r="AR9" s="11">
        <v>0.15959999999999999</v>
      </c>
      <c r="AS9" s="11">
        <v>0.1893</v>
      </c>
      <c r="AT9" s="10" t="b">
        <f>IF(MIN(Watchlist[[#This Row],[Equity - 10-year]:[Equity - 1-year]])&gt;=0.1,TRUE,IF(MIN(Watchlist[[#This Row],[Equity - 10-year]:[Equity - 1-year]])&gt;=0.08,"CHECK",FALSE))</f>
        <v>1</v>
      </c>
      <c r="AU9" s="11">
        <v>0.1772</v>
      </c>
      <c r="AV9" s="11">
        <v>0.13789999999999999</v>
      </c>
      <c r="AW9" s="11">
        <v>0.13159999999999999</v>
      </c>
      <c r="AX9" s="11">
        <v>0.14169999999999999</v>
      </c>
      <c r="AY9" s="10" t="b">
        <f>IF(MIN(Watchlist[[#This Row],[EPS - 10-year]:[EPS - 1-year]])&gt;=0.1,TRUE,IF(MIN(Watchlist[[#This Row],[EPS - 10-year]:[EPS - 1-year]])&gt;=0.08,"CHECK",FALSE))</f>
        <v>1</v>
      </c>
      <c r="AZ9" s="11">
        <v>0.17019999999999999</v>
      </c>
      <c r="BA9" s="11">
        <v>0.19040000000000001</v>
      </c>
      <c r="BB9" s="11">
        <v>0.20849999999999999</v>
      </c>
      <c r="BC9" s="11">
        <v>0.1249</v>
      </c>
      <c r="BD9" s="10" t="b">
        <f>IF(MIN(Watchlist[[#This Row],[Sales - 10-year]:[Sales - 1-year]])&gt;=0.1,TRUE,IF(MIN(Watchlist[[#This Row],[Sales - 10-year]:[Sales - 1-year]])&gt;=0.08,"CHECK",FALSE))</f>
        <v>1</v>
      </c>
      <c r="BE9" s="11">
        <v>0.21210000000000001</v>
      </c>
      <c r="BF9" s="11">
        <v>0.19650000000000001</v>
      </c>
      <c r="BG9" s="11">
        <v>0.21490000000000001</v>
      </c>
      <c r="BH9" s="11">
        <v>0.183</v>
      </c>
      <c r="BI9" s="10" t="b">
        <f>IF(MIN(Watchlist[[#This Row],[FCF - 10-year]:[FCF - 1-year]])&gt;=0.1,TRUE,IF(MIN(Watchlist[[#This Row],[FCF - 10-year]:[FCF - 1-year]])&gt;=0.08,"CHECK",FALSE))</f>
        <v>0</v>
      </c>
      <c r="BJ9" s="11">
        <v>0.13800000000000001</v>
      </c>
      <c r="BK9" s="11">
        <v>0.20749999999999999</v>
      </c>
      <c r="BL9" s="11">
        <v>5.9200000000000003E-2</v>
      </c>
      <c r="BM9" s="11">
        <v>0.35070000000000001</v>
      </c>
      <c r="BN9" s="10" t="b">
        <f>IF(MIN(Watchlist[[#This Row],[OCF - 10-year]:[OCF - 1-year]])&gt;=0.1,TRUE,IF(MIN(Watchlist[[#This Row],[OCF - 10-year]:[OCF - 1-year]])&gt;=0.08,"CHECK",FALSE))</f>
        <v>1</v>
      </c>
      <c r="BO9" s="11">
        <v>0.1933</v>
      </c>
      <c r="BP9" s="11">
        <v>0.18820000000000001</v>
      </c>
      <c r="BQ9" s="11">
        <v>0.14799999999999999</v>
      </c>
      <c r="BR9" s="11">
        <v>0.13650000000000001</v>
      </c>
    </row>
    <row r="10" spans="1:70" ht="16.5" thickBot="1" x14ac:dyDescent="0.3">
      <c r="A10" s="6" t="s">
        <v>132</v>
      </c>
      <c r="B10" s="10" t="s">
        <v>81</v>
      </c>
      <c r="C10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10" t="s">
        <v>233</v>
      </c>
      <c r="E10" s="15" t="b">
        <f>IF(COUNTIF(Watchlist[[#This Row],[MACD Status]:[Stochastics Status]],"BUY")=3,TRUE,FALSE)</f>
        <v>0</v>
      </c>
      <c r="F10" s="10" t="s">
        <v>239</v>
      </c>
      <c r="G10" s="10" t="s">
        <v>239</v>
      </c>
      <c r="H10" s="10" t="s">
        <v>239</v>
      </c>
      <c r="I10" s="12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7" t="s">
        <v>237</v>
      </c>
      <c r="K10" s="10" t="b">
        <v>1</v>
      </c>
      <c r="L10" s="7" t="s">
        <v>235</v>
      </c>
      <c r="M10" s="12" t="b">
        <f>IF(COUNTIF(Watchlist[[#This Row],[ROIC Approval]:[OCF - 1-year]],TRUE)&gt;=6,TRUE,IF(COUNTIF(Watchlist[[#This Row],[Debt - Payoff Possible]:[OCF - 1-year]],FALSE)&lt;=3,"CHECK",FALSE))</f>
        <v>1</v>
      </c>
      <c r="N10" s="10" t="b">
        <v>1</v>
      </c>
      <c r="O10" s="10" t="s">
        <v>233</v>
      </c>
      <c r="P10" s="16">
        <v>417.06873181095</v>
      </c>
      <c r="Q10" s="16">
        <v>208.534365905475</v>
      </c>
      <c r="R10" s="7">
        <v>500.12</v>
      </c>
      <c r="S10" s="6" t="s">
        <v>96</v>
      </c>
      <c r="T10" s="6" t="s">
        <v>172</v>
      </c>
      <c r="U10" s="6" t="s">
        <v>99</v>
      </c>
      <c r="V10" s="6" t="s">
        <v>100</v>
      </c>
      <c r="W10" s="6" t="s">
        <v>97</v>
      </c>
      <c r="X10" s="6" t="s">
        <v>98</v>
      </c>
      <c r="Y10" s="16">
        <v>0.16669999999999999</v>
      </c>
      <c r="Z10" s="16">
        <v>0.17622409816602591</v>
      </c>
      <c r="AA10" s="16">
        <v>0.16669999999999999</v>
      </c>
      <c r="AB10" s="16">
        <v>10.830000104430709</v>
      </c>
      <c r="AC10" s="16">
        <v>50.608147399510337</v>
      </c>
      <c r="AD10" s="16">
        <v>57.947019999999988</v>
      </c>
      <c r="AE10" s="16">
        <v>33.340000000000003</v>
      </c>
      <c r="AF10" s="16">
        <v>33.340000000000003</v>
      </c>
      <c r="AG10" s="16">
        <v>36.684806999999999</v>
      </c>
      <c r="AH10" s="16">
        <v>1687.2756342996749</v>
      </c>
      <c r="AI10" s="7">
        <v>232826814464</v>
      </c>
      <c r="AJ10" s="12" t="b">
        <f>IF(MIN(Watchlist[[#This Row],[ROIC - 10-year]:[ROIC - 1-year]])&gt;=0.1,TRUE,IF(MIN(Watchlist[[#This Row],[ROIC - 10-year]:[ROIC - 1-year]])&gt;=0.08,"CHECK",FALSE))</f>
        <v>1</v>
      </c>
      <c r="AK10" s="11">
        <v>0.12740000000000001</v>
      </c>
      <c r="AL10" s="11">
        <v>0.17549999999999999</v>
      </c>
      <c r="AM10" s="11">
        <v>0.19370000000000001</v>
      </c>
      <c r="AN10" s="11">
        <v>0.18049999999999999</v>
      </c>
      <c r="AO10" s="17" t="b">
        <f>IF(MIN(Watchlist[[#This Row],[ROIC QuickFS - 10-year]:[ROIC QuickFS - 1-year]])&gt;=0.1,TRUE,IF(MIN(Watchlist[[#This Row],[ROIC QuickFS - 10-year]:[ROIC QuickFS - 1-year]])&gt;=0.08,"CHECK",FALSE))</f>
        <v>1</v>
      </c>
      <c r="AP10" s="11">
        <v>0.1696</v>
      </c>
      <c r="AQ10" s="11">
        <v>0.25440000000000002</v>
      </c>
      <c r="AR10" s="11">
        <v>0.30719999999999997</v>
      </c>
      <c r="AS10" s="11">
        <v>0.4138</v>
      </c>
      <c r="AT10" s="17" t="b">
        <f>IF(MIN(Watchlist[[#This Row],[Equity - 10-year]:[Equity - 1-year]])&gt;=0.1,TRUE,IF(MIN(Watchlist[[#This Row],[Equity - 10-year]:[Equity - 1-year]])&gt;=0.08,"CHECK",FALSE))</f>
        <v>1</v>
      </c>
      <c r="AU10" s="11">
        <v>0.1072</v>
      </c>
      <c r="AV10" s="11">
        <v>0.14649999999999999</v>
      </c>
      <c r="AW10" s="11">
        <v>0.17449999999999999</v>
      </c>
      <c r="AX10" s="11">
        <v>0.2767</v>
      </c>
      <c r="AY10" s="17" t="b">
        <f>IF(MIN(Watchlist[[#This Row],[EPS - 10-year]:[EPS - 1-year]])&gt;=0.1,TRUE,IF(MIN(Watchlist[[#This Row],[EPS - 10-year]:[EPS - 1-year]])&gt;=0.08,"CHECK",FALSE))</f>
        <v>1</v>
      </c>
      <c r="AZ10" s="11">
        <v>0.221</v>
      </c>
      <c r="BA10" s="11">
        <v>0.54259999999999997</v>
      </c>
      <c r="BB10" s="11">
        <v>0.47420000000000001</v>
      </c>
      <c r="BC10" s="11">
        <v>0.80500000000000005</v>
      </c>
      <c r="BD10" s="17" t="b">
        <f>IF(MIN(Watchlist[[#This Row],[Sales - 10-year]:[Sales - 1-year]])&gt;=0.1,TRUE,IF(MIN(Watchlist[[#This Row],[Sales - 10-year]:[Sales - 1-year]])&gt;=0.08,"CHECK",FALSE))</f>
        <v>1</v>
      </c>
      <c r="BE10" s="11">
        <v>0.12970000000000001</v>
      </c>
      <c r="BF10" s="11">
        <v>0.21820000000000001</v>
      </c>
      <c r="BG10" s="11">
        <v>0.2079</v>
      </c>
      <c r="BH10" s="11">
        <v>0.15190000000000001</v>
      </c>
      <c r="BI10" s="17" t="b">
        <f>IF(MIN(Watchlist[[#This Row],[FCF - 10-year]:[FCF - 1-year]])&gt;=0.1,TRUE,IF(MIN(Watchlist[[#This Row],[FCF - 10-year]:[FCF - 1-year]])&gt;=0.08,"CHECK",FALSE))</f>
        <v>1</v>
      </c>
      <c r="BJ10" s="11">
        <v>0.18459999999999999</v>
      </c>
      <c r="BK10" s="11">
        <v>0.3165</v>
      </c>
      <c r="BL10" s="11">
        <v>0.24740000000000001</v>
      </c>
      <c r="BM10" s="11">
        <v>0.318</v>
      </c>
      <c r="BN10" s="17" t="b">
        <f>IF(MIN(Watchlist[[#This Row],[OCF - 10-year]:[OCF - 1-year]])&gt;=0.1,TRUE,IF(MIN(Watchlist[[#This Row],[OCF - 10-year]:[OCF - 1-year]])&gt;=0.08,"CHECK",FALSE))</f>
        <v>1</v>
      </c>
      <c r="BO10" s="11">
        <v>0.17799999999999999</v>
      </c>
      <c r="BP10" s="11">
        <v>0.31269999999999998</v>
      </c>
      <c r="BQ10" s="11">
        <v>0.25280000000000002</v>
      </c>
      <c r="BR10" s="11">
        <v>0.29520000000000002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topLeftCell="A46" zoomScale="130" zoomScaleNormal="130" workbookViewId="0">
      <selection activeCell="C56" sqref="C56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8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21" t="s">
        <v>33</v>
      </c>
      <c r="B6" s="21"/>
      <c r="C6" s="21" t="s">
        <v>34</v>
      </c>
      <c r="D6" s="21"/>
      <c r="E6" s="21"/>
      <c r="F6" s="21"/>
      <c r="G6" s="21"/>
      <c r="H6" s="21"/>
      <c r="I6" s="21" t="s">
        <v>35</v>
      </c>
      <c r="J6" s="21"/>
      <c r="K6" s="18" t="s">
        <v>14</v>
      </c>
      <c r="L6" s="19"/>
      <c r="M6" s="19"/>
      <c r="N6" s="19"/>
      <c r="O6" s="19"/>
      <c r="P6" s="19"/>
      <c r="Q6" s="19"/>
      <c r="R6" s="19"/>
      <c r="S6" s="19"/>
      <c r="T6" s="20"/>
      <c r="U6" s="18" t="s">
        <v>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20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0" t="s">
        <v>238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0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0" t="b">
        <f>IF(MIN(Screener[[#This Row],[ROIC - 10-year]:[ROIC - 1-year]])&gt;=0.1,TRUE,IF(MIN(Screener[[#This Row],[ROIC - 10-year]:[ROIC - 1-year]])&gt;=0.08,"CHECK",FALSE))</f>
        <v>1</v>
      </c>
      <c r="L8" s="11">
        <v>0.20649999999999999</v>
      </c>
      <c r="M8" s="11">
        <v>0.1764</v>
      </c>
      <c r="N8" s="11">
        <v>0.1883</v>
      </c>
      <c r="O8" s="11">
        <v>0.24340000000000001</v>
      </c>
      <c r="P8" s="10" t="b">
        <f>IF(MIN(Screener[[#This Row],[ROIC QuickFS - 10-year]:[ROIC QuickFS - 1-year]])&gt;=0.1,TRUE,IF(MIN(Screener[[#This Row],[ROIC QuickFS - 10-year]:[ROIC QuickFS - 1-year]])&gt;=0.08,"CHECK",FALSE))</f>
        <v>1</v>
      </c>
      <c r="Q8" s="11">
        <v>0.22639999999999999</v>
      </c>
      <c r="R8" s="11">
        <v>0.1915</v>
      </c>
      <c r="S8" s="11">
        <v>0.20080000000000001</v>
      </c>
      <c r="T8" s="11">
        <v>0.25659999999999999</v>
      </c>
      <c r="U8" s="10" t="str">
        <f>IF(MIN(Screener[[#This Row],[Equity - 10-year]:[Equity - 1-year]])&gt;=0.1,TRUE,IF(MIN(Screener[[#This Row],[Equity - 10-year]:[Equity - 1-year]])&gt;=0.08,"CHECK",FALSE))</f>
        <v>CHECK</v>
      </c>
      <c r="V8" s="11">
        <v>0.1153</v>
      </c>
      <c r="W8" s="11">
        <v>9.6799999999999997E-2</v>
      </c>
      <c r="X8" s="11">
        <v>0.112</v>
      </c>
      <c r="Y8" s="11">
        <v>0.1666</v>
      </c>
      <c r="Z8" s="10" t="b">
        <f>IF(MIN(Screener[[#This Row],[EPS - 10-year]:[EPS - 1-year]])&gt;=0.1,TRUE,IF(MIN(Screener[[#This Row],[EPS - 10-year]:[EPS - 1-year]])&gt;=0.08,"CHECK",FALSE))</f>
        <v>1</v>
      </c>
      <c r="AA8" s="11">
        <v>0.1062</v>
      </c>
      <c r="AB8" s="11">
        <v>0.31230000000000002</v>
      </c>
      <c r="AC8" s="11">
        <v>0.2102</v>
      </c>
      <c r="AD8" s="11">
        <v>0.13830000000000001</v>
      </c>
      <c r="AE8" s="10" t="str">
        <f>IF(MIN(Screener[[#This Row],[Sales - 10-year]:[Sales - 1-year]])&gt;=0.1,TRUE,IF(MIN(Screener[[#This Row],[Sales - 10-year]:[Sales - 1-year]])&gt;=0.08,"CHECK",FALSE))</f>
        <v>CHECK</v>
      </c>
      <c r="AF8" s="11">
        <v>8.6300000000000002E-2</v>
      </c>
      <c r="AG8" s="11">
        <v>8.8499999999999995E-2</v>
      </c>
      <c r="AH8" s="11">
        <v>0.13980000000000001</v>
      </c>
      <c r="AI8" s="11">
        <v>0.13650000000000001</v>
      </c>
      <c r="AJ8" s="10" t="b">
        <f>IF(MIN(Screener[[#This Row],[FCF - 10-year]:[FCF - 1-year]])&gt;=0.1,TRUE,IF(MIN(Screener[[#This Row],[FCF - 10-year]:[FCF - 1-year]])&gt;=0.08,"CHECK",FALSE))</f>
        <v>0</v>
      </c>
      <c r="AK8" s="11">
        <v>7.4300000000000005E-2</v>
      </c>
      <c r="AL8" s="11">
        <v>0.13780000000000001</v>
      </c>
      <c r="AM8" s="11">
        <v>0.12970000000000001</v>
      </c>
      <c r="AN8" s="11">
        <v>0.18229999999999999</v>
      </c>
      <c r="AO8" s="10" t="str">
        <f>IF(MIN(Screener[[#This Row],[OCF - 10-year]:[OCF - 1-year]])&gt;=0.1,TRUE,IF(MIN(Screener[[#This Row],[OCF - 10-year]:[OCF - 1-year]])&gt;=0.08,"CHECK",FALSE))</f>
        <v>CHECK</v>
      </c>
      <c r="AP8" s="11">
        <v>9.69E-2</v>
      </c>
      <c r="AQ8" s="11">
        <v>0.15379999999999999</v>
      </c>
      <c r="AR8" s="11">
        <v>0.15379999999999999</v>
      </c>
      <c r="AS8" s="11">
        <v>0.16270000000000001</v>
      </c>
    </row>
    <row r="9" spans="1:49" ht="16.5" thickBot="1" x14ac:dyDescent="0.3">
      <c r="A9" s="7" t="s">
        <v>77</v>
      </c>
      <c r="B9" s="10" t="s">
        <v>238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0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0" t="b">
        <f>IF(MIN(Screener[[#This Row],[ROIC - 10-year]:[ROIC - 1-year]])&gt;=0.1,TRUE,IF(MIN(Screener[[#This Row],[ROIC - 10-year]:[ROIC - 1-year]])&gt;=0.08,"CHECK",FALSE))</f>
        <v>0</v>
      </c>
      <c r="L9" s="11">
        <v>0.1173</v>
      </c>
      <c r="M9" s="11">
        <v>7.6100000000000001E-2</v>
      </c>
      <c r="N9" s="11">
        <v>9.2600000000000002E-2</v>
      </c>
      <c r="O9" s="11">
        <v>0.1055</v>
      </c>
      <c r="P9" s="10" t="str">
        <f>IF(MIN(Screener[[#This Row],[ROIC QuickFS - 10-year]:[ROIC QuickFS - 1-year]])&gt;=0.1,TRUE,IF(MIN(Screener[[#This Row],[ROIC QuickFS - 10-year]:[ROIC QuickFS - 1-year]])&gt;=0.08,"CHECK",FALSE))</f>
        <v>CHECK</v>
      </c>
      <c r="Q9" s="11">
        <v>0.18579999999999999</v>
      </c>
      <c r="R9" s="11">
        <v>9.11E-2</v>
      </c>
      <c r="S9" s="11">
        <v>0.11650000000000001</v>
      </c>
      <c r="T9" s="11">
        <v>0.12809999999999999</v>
      </c>
      <c r="U9" s="10" t="b">
        <f>IF(MIN(Screener[[#This Row],[Equity - 10-year]:[Equity - 1-year]])&gt;=0.1,TRUE,IF(MIN(Screener[[#This Row],[Equity - 10-year]:[Equity - 1-year]])&gt;=0.08,"CHECK",FALSE))</f>
        <v>1</v>
      </c>
      <c r="V9" s="11">
        <v>0.42470000000000002</v>
      </c>
      <c r="W9" s="11">
        <v>0.313</v>
      </c>
      <c r="X9" s="11">
        <v>0.40060000000000001</v>
      </c>
      <c r="Y9" s="11">
        <v>0.4456</v>
      </c>
      <c r="Z9" s="10" t="b">
        <f>IF(MIN(Screener[[#This Row],[EPS - 10-year]:[EPS - 1-year]])&gt;=0.1,TRUE,IF(MIN(Screener[[#This Row],[EPS - 10-year]:[EPS - 1-year]])&gt;=0.08,"CHECK",FALSE))</f>
        <v>1</v>
      </c>
      <c r="AA9" s="11">
        <v>0.30880000000000002</v>
      </c>
      <c r="AB9" s="11">
        <v>0.4612</v>
      </c>
      <c r="AC9" s="11">
        <v>1.1256999999999999</v>
      </c>
      <c r="AD9" s="11">
        <v>0.54100000000000004</v>
      </c>
      <c r="AE9" s="10" t="b">
        <f>IF(MIN(Screener[[#This Row],[Sales - 10-year]:[Sales - 1-year]])&gt;=0.1,TRUE,IF(MIN(Screener[[#This Row],[Sales - 10-year]:[Sales - 1-year]])&gt;=0.08,"CHECK",FALSE))</f>
        <v>1</v>
      </c>
      <c r="AF9" s="11">
        <v>0.2828</v>
      </c>
      <c r="AG9" s="11">
        <v>0.2964</v>
      </c>
      <c r="AH9" s="11">
        <v>0.31669999999999998</v>
      </c>
      <c r="AI9" s="11">
        <v>0.2762</v>
      </c>
      <c r="AJ9" s="10" t="b">
        <f>IF(MIN(Screener[[#This Row],[FCF - 10-year]:[FCF - 1-year]])&gt;=0.1,TRUE,IF(MIN(Screener[[#This Row],[FCF - 10-year]:[FCF - 1-year]])&gt;=0.08,"CHECK",FALSE))</f>
        <v>0</v>
      </c>
      <c r="AK9" s="11">
        <v>-7.1199999999999999E-2</v>
      </c>
      <c r="AL9" s="11">
        <v>-1.2602</v>
      </c>
      <c r="AM9" s="11">
        <v>-0.25690000000000002</v>
      </c>
      <c r="AN9" s="11">
        <v>-0.1002</v>
      </c>
      <c r="AO9" s="10" t="b">
        <f>IF(MIN(Screener[[#This Row],[OCF - 10-year]:[OCF - 1-year]])&gt;=0.1,TRUE,IF(MIN(Screener[[#This Row],[OCF - 10-year]:[OCF - 1-year]])&gt;=0.08,"CHECK",FALSE))</f>
        <v>0</v>
      </c>
      <c r="AP9" s="11">
        <v>-7.2099999999999997E-2</v>
      </c>
      <c r="AQ9" s="11">
        <v>-0.12989999999999999</v>
      </c>
      <c r="AR9" s="11">
        <v>-0.25119999999999998</v>
      </c>
      <c r="AS9" s="11">
        <v>-7.7200000000000005E-2</v>
      </c>
    </row>
    <row r="10" spans="1:49" ht="16.5" thickBot="1" x14ac:dyDescent="0.3">
      <c r="A10" s="7" t="s">
        <v>79</v>
      </c>
      <c r="B10" s="10" t="s">
        <v>238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0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0" t="b">
        <f>IF(MIN(Screener[[#This Row],[ROIC - 10-year]:[ROIC - 1-year]])&gt;=0.1,TRUE,IF(MIN(Screener[[#This Row],[ROIC - 10-year]:[ROIC - 1-year]])&gt;=0.08,"CHECK",FALSE))</f>
        <v>1</v>
      </c>
      <c r="L10" s="11">
        <v>0.13220000000000001</v>
      </c>
      <c r="M10" s="11">
        <v>0.20380000000000001</v>
      </c>
      <c r="N10" s="11">
        <v>0.1754</v>
      </c>
      <c r="O10" s="11">
        <v>0.19189999999999999</v>
      </c>
      <c r="P10" s="10" t="b">
        <f>IF(MIN(Screener[[#This Row],[ROIC QuickFS - 10-year]:[ROIC QuickFS - 1-year]])&gt;=0.1,TRUE,IF(MIN(Screener[[#This Row],[ROIC QuickFS - 10-year]:[ROIC QuickFS - 1-year]])&gt;=0.08,"CHECK",FALSE))</f>
        <v>1</v>
      </c>
      <c r="Q10" s="11">
        <v>0.20399999999999999</v>
      </c>
      <c r="R10" s="11">
        <v>0.20530000000000001</v>
      </c>
      <c r="S10" s="11">
        <v>0.17030000000000001</v>
      </c>
      <c r="T10" s="11">
        <v>0.16830000000000001</v>
      </c>
      <c r="U10" s="10" t="b">
        <f>IF(MIN(Screener[[#This Row],[Equity - 10-year]:[Equity - 1-year]])&gt;=0.1,TRUE,IF(MIN(Screener[[#This Row],[Equity - 10-year]:[Equity - 1-year]])&gt;=0.08,"CHECK",FALSE))</f>
        <v>1</v>
      </c>
      <c r="V10" s="11">
        <v>0.54879999999999995</v>
      </c>
      <c r="W10" s="11">
        <v>0.17660000000000001</v>
      </c>
      <c r="X10" s="11">
        <v>0.13059999999999999</v>
      </c>
      <c r="Y10" s="11">
        <v>0.1925</v>
      </c>
      <c r="Z10" s="10" t="str">
        <f>IF(MIN(Screener[[#This Row],[EPS - 10-year]:[EPS - 1-year]])&gt;=0.1,TRUE,IF(MIN(Screener[[#This Row],[EPS - 10-year]:[EPS - 1-year]])&gt;=0.08,"CHECK",FALSE))</f>
        <v>CHECK</v>
      </c>
      <c r="AA10" s="11">
        <v>1.1935</v>
      </c>
      <c r="AB10" s="11">
        <v>0.56399999999999995</v>
      </c>
      <c r="AC10" s="11">
        <v>9.5699999999999993E-2</v>
      </c>
      <c r="AD10" s="11">
        <v>0.28749999999999998</v>
      </c>
      <c r="AE10" s="10" t="b">
        <f>IF(MIN(Screener[[#This Row],[Sales - 10-year]:[Sales - 1-year]])&gt;=0.1,TRUE,IF(MIN(Screener[[#This Row],[Sales - 10-year]:[Sales - 1-year]])&gt;=0.08,"CHECK",FALSE))</f>
        <v>0</v>
      </c>
      <c r="AF10" s="11">
        <v>5.2900000000000003E-2</v>
      </c>
      <c r="AG10" s="11">
        <v>3.1E-2</v>
      </c>
      <c r="AH10" s="11">
        <v>6.0199999999999997E-2</v>
      </c>
      <c r="AI10" s="11">
        <v>5.7799999999999997E-2</v>
      </c>
      <c r="AJ10" s="10" t="b">
        <f>IF(MIN(Screener[[#This Row],[FCF - 10-year]:[FCF - 1-year]])&gt;=0.1,TRUE,IF(MIN(Screener[[#This Row],[FCF - 10-year]:[FCF - 1-year]])&gt;=0.08,"CHECK",FALSE))</f>
        <v>0</v>
      </c>
      <c r="AK10" s="11">
        <v>0.2883</v>
      </c>
      <c r="AL10" s="11">
        <v>5.28E-2</v>
      </c>
      <c r="AM10" s="11">
        <v>-4.8500000000000001E-2</v>
      </c>
      <c r="AN10" s="11">
        <v>0.89</v>
      </c>
      <c r="AO10" s="10" t="b">
        <f>IF(MIN(Screener[[#This Row],[OCF - 10-year]:[OCF - 1-year]])&gt;=0.1,TRUE,IF(MIN(Screener[[#This Row],[OCF - 10-year]:[OCF - 1-year]])&gt;=0.08,"CHECK",FALSE))</f>
        <v>0</v>
      </c>
      <c r="AP10" s="11">
        <v>0.19839999999999999</v>
      </c>
      <c r="AQ10" s="11">
        <v>0.1124</v>
      </c>
      <c r="AR10" s="11">
        <v>5.2999999999999999E-2</v>
      </c>
      <c r="AS10" s="11">
        <v>0.20119999999999999</v>
      </c>
    </row>
    <row r="11" spans="1:49" ht="16.5" thickBot="1" x14ac:dyDescent="0.3">
      <c r="A11" s="7" t="s">
        <v>80</v>
      </c>
      <c r="B11" s="10" t="s">
        <v>238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0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0" t="b">
        <f>IF(MIN(Screener[[#This Row],[ROIC - 10-year]:[ROIC - 1-year]])&gt;=0.1,TRUE,IF(MIN(Screener[[#This Row],[ROIC - 10-year]:[ROIC - 1-year]])&gt;=0.08,"CHECK",FALSE))</f>
        <v>1</v>
      </c>
      <c r="L11" s="11">
        <v>0.13220000000000001</v>
      </c>
      <c r="M11" s="11">
        <v>0.1353</v>
      </c>
      <c r="N11" s="11">
        <v>0.1333</v>
      </c>
      <c r="O11" s="11">
        <v>0.13550000000000001</v>
      </c>
      <c r="P11" s="10" t="b">
        <f>IF(MIN(Screener[[#This Row],[ROIC QuickFS - 10-year]:[ROIC QuickFS - 1-year]])&gt;=0.1,TRUE,IF(MIN(Screener[[#This Row],[ROIC QuickFS - 10-year]:[ROIC QuickFS - 1-year]])&gt;=0.08,"CHECK",FALSE))</f>
        <v>1</v>
      </c>
      <c r="Q11" s="11">
        <v>0.13489999999999999</v>
      </c>
      <c r="R11" s="11">
        <v>0.1356</v>
      </c>
      <c r="S11" s="11">
        <v>0.1303</v>
      </c>
      <c r="T11" s="11">
        <v>0.1308</v>
      </c>
      <c r="U11" s="10" t="b">
        <f>IF(MIN(Screener[[#This Row],[Equity - 10-year]:[Equity - 1-year]])&gt;=0.1,TRUE,IF(MIN(Screener[[#This Row],[Equity - 10-year]:[Equity - 1-year]])&gt;=0.08,"CHECK",FALSE))</f>
        <v>0</v>
      </c>
      <c r="V11" s="11">
        <v>0.1114</v>
      </c>
      <c r="W11" s="11">
        <v>7.6600000000000001E-2</v>
      </c>
      <c r="X11" s="11">
        <v>8.4500000000000006E-2</v>
      </c>
      <c r="Y11" s="11">
        <v>0.13469999999999999</v>
      </c>
      <c r="Z11" s="10" t="b">
        <f>IF(MIN(Screener[[#This Row],[EPS - 10-year]:[EPS - 1-year]])&gt;=0.1,TRUE,IF(MIN(Screener[[#This Row],[EPS - 10-year]:[EPS - 1-year]])&gt;=0.08,"CHECK",FALSE))</f>
        <v>1</v>
      </c>
      <c r="AA11" s="11">
        <v>0.2014</v>
      </c>
      <c r="AB11" s="11">
        <v>0.1099</v>
      </c>
      <c r="AC11" s="11">
        <v>0.10440000000000001</v>
      </c>
      <c r="AD11" s="11">
        <v>0.1479</v>
      </c>
      <c r="AE11" s="10" t="b">
        <f>IF(MIN(Screener[[#This Row],[Sales - 10-year]:[Sales - 1-year]])&gt;=0.1,TRUE,IF(MIN(Screener[[#This Row],[Sales - 10-year]:[Sales - 1-year]])&gt;=0.08,"CHECK",FALSE))</f>
        <v>0</v>
      </c>
      <c r="AF11" s="11">
        <v>7.8299999999999995E-2</v>
      </c>
      <c r="AG11" s="11">
        <v>4.8899999999999999E-2</v>
      </c>
      <c r="AH11" s="11">
        <v>5.5300000000000002E-2</v>
      </c>
      <c r="AI11" s="11">
        <v>7.6100000000000001E-2</v>
      </c>
      <c r="AJ11" s="10" t="b">
        <f>IF(MIN(Screener[[#This Row],[FCF - 10-year]:[FCF - 1-year]])&gt;=0.1,TRUE,IF(MIN(Screener[[#This Row],[FCF - 10-year]:[FCF - 1-year]])&gt;=0.08,"CHECK",FALSE))</f>
        <v>1</v>
      </c>
      <c r="AK11" s="11">
        <v>0.14449999999999999</v>
      </c>
      <c r="AL11" s="11">
        <v>0.37730000000000002</v>
      </c>
      <c r="AM11" s="11">
        <v>0.57469999999999999</v>
      </c>
      <c r="AN11" s="11">
        <v>0.2094</v>
      </c>
      <c r="AO11" s="10" t="b">
        <f>IF(MIN(Screener[[#This Row],[OCF - 10-year]:[OCF - 1-year]])&gt;=0.1,TRUE,IF(MIN(Screener[[#This Row],[OCF - 10-year]:[OCF - 1-year]])&gt;=0.08,"CHECK",FALSE))</f>
        <v>0</v>
      </c>
      <c r="AP11" s="11">
        <v>0.1101</v>
      </c>
      <c r="AQ11" s="11">
        <v>9.0800000000000006E-2</v>
      </c>
      <c r="AR11" s="11">
        <v>6.9500000000000006E-2</v>
      </c>
      <c r="AS11" s="11">
        <v>0.16539999999999999</v>
      </c>
    </row>
    <row r="12" spans="1:49" ht="16.5" thickBot="1" x14ac:dyDescent="0.3">
      <c r="A12" s="7" t="s">
        <v>116</v>
      </c>
      <c r="B12" s="10" t="s">
        <v>238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0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0" t="b">
        <f>IF(MIN(Screener[[#This Row],[ROIC - 10-year]:[ROIC - 1-year]])&gt;=0.1,TRUE,IF(MIN(Screener[[#This Row],[ROIC - 10-year]:[ROIC - 1-year]])&gt;=0.08,"CHECK",FALSE))</f>
        <v>1</v>
      </c>
      <c r="L12" s="11">
        <v>0.15529999999999999</v>
      </c>
      <c r="M12" s="11">
        <v>0.17960000000000001</v>
      </c>
      <c r="N12" s="11">
        <v>0.21440000000000001</v>
      </c>
      <c r="O12" s="11">
        <v>0.17630000000000001</v>
      </c>
      <c r="P12" s="10" t="b">
        <f>IF(MIN(Screener[[#This Row],[ROIC QuickFS - 10-year]:[ROIC QuickFS - 1-year]])&gt;=0.1,TRUE,IF(MIN(Screener[[#This Row],[ROIC QuickFS - 10-year]:[ROIC QuickFS - 1-year]])&gt;=0.08,"CHECK",FALSE))</f>
        <v>1</v>
      </c>
      <c r="Q12" s="11">
        <v>0.1847</v>
      </c>
      <c r="R12" s="11">
        <v>0.22789999999999999</v>
      </c>
      <c r="S12" s="11">
        <v>0.26979999999999998</v>
      </c>
      <c r="T12" s="11">
        <v>0.22209999999999999</v>
      </c>
      <c r="U12" s="10" t="b">
        <f>IF(MIN(Screener[[#This Row],[Equity - 10-year]:[Equity - 1-year]])&gt;=0.1,TRUE,IF(MIN(Screener[[#This Row],[Equity - 10-year]:[Equity - 1-year]])&gt;=0.08,"CHECK",FALSE))</f>
        <v>1</v>
      </c>
      <c r="V12" s="11">
        <v>0.55649999999999999</v>
      </c>
      <c r="W12" s="11">
        <v>0.21</v>
      </c>
      <c r="X12" s="11">
        <v>0.2019</v>
      </c>
      <c r="Y12" s="11">
        <v>0.22</v>
      </c>
      <c r="Z12" s="10" t="b">
        <f>IF(MIN(Screener[[#This Row],[EPS - 10-year]:[EPS - 1-year]])&gt;=0.1,TRUE,IF(MIN(Screener[[#This Row],[EPS - 10-year]:[EPS - 1-year]])&gt;=0.08,"CHECK",FALSE))</f>
        <v>0</v>
      </c>
      <c r="AA12" s="11">
        <v>0.49730000000000002</v>
      </c>
      <c r="AB12" s="11">
        <v>0.42349999999999999</v>
      </c>
      <c r="AC12" s="11">
        <v>0.22589999999999999</v>
      </c>
      <c r="AD12" s="11">
        <v>-0.15060000000000001</v>
      </c>
      <c r="AE12" s="10" t="b">
        <f>IF(MIN(Screener[[#This Row],[Sales - 10-year]:[Sales - 1-year]])&gt;=0.1,TRUE,IF(MIN(Screener[[#This Row],[Sales - 10-year]:[Sales - 1-year]])&gt;=0.08,"CHECK",FALSE))</f>
        <v>1</v>
      </c>
      <c r="AF12" s="11">
        <v>0.48820000000000002</v>
      </c>
      <c r="AG12" s="11">
        <v>0.41489999999999999</v>
      </c>
      <c r="AH12" s="11">
        <v>0.36759999999999998</v>
      </c>
      <c r="AI12" s="11">
        <v>0.2661</v>
      </c>
      <c r="AJ12" s="10" t="b">
        <f>IF(MIN(Screener[[#This Row],[FCF - 10-year]:[FCF - 1-year]])&gt;=0.1,TRUE,IF(MIN(Screener[[#This Row],[FCF - 10-year]:[FCF - 1-year]])&gt;=0.08,"CHECK",FALSE))</f>
        <v>1</v>
      </c>
      <c r="AK12" s="11">
        <v>0.5524</v>
      </c>
      <c r="AL12" s="11">
        <v>0.31019999999999998</v>
      </c>
      <c r="AM12" s="11">
        <v>0.2223</v>
      </c>
      <c r="AN12" s="11">
        <v>0.38109999999999999</v>
      </c>
      <c r="AO12" s="10" t="b">
        <f>IF(MIN(Screener[[#This Row],[OCF - 10-year]:[OCF - 1-year]])&gt;=0.1,TRUE,IF(MIN(Screener[[#This Row],[OCF - 10-year]:[OCF - 1-year]])&gt;=0.08,"CHECK",FALSE))</f>
        <v>1</v>
      </c>
      <c r="AP12" s="11">
        <v>0.55130000000000001</v>
      </c>
      <c r="AQ12" s="11">
        <v>0.37730000000000002</v>
      </c>
      <c r="AR12" s="11">
        <v>0.31119999999999998</v>
      </c>
      <c r="AS12" s="11">
        <v>0.24049999999999999</v>
      </c>
    </row>
    <row r="13" spans="1:49" ht="16.5" thickBot="1" x14ac:dyDescent="0.3">
      <c r="A13" s="7" t="s">
        <v>118</v>
      </c>
      <c r="B13" s="10" t="s">
        <v>238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0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0" t="str">
        <f>IF(MIN(Screener[[#This Row],[ROIC - 10-year]:[ROIC - 1-year]])&gt;=0.1,TRUE,IF(MIN(Screener[[#This Row],[ROIC - 10-year]:[ROIC - 1-year]])&gt;=0.08,"CHECK",FALSE))</f>
        <v>CHECK</v>
      </c>
      <c r="L13" s="11">
        <v>0.13170000000000001</v>
      </c>
      <c r="M13" s="11">
        <v>8.5300000000000001E-2</v>
      </c>
      <c r="N13" s="11">
        <v>8.2900000000000001E-2</v>
      </c>
      <c r="O13" s="11">
        <v>8.1900000000000001E-2</v>
      </c>
      <c r="P13" s="10" t="b">
        <f>IF(MIN(Screener[[#This Row],[ROIC QuickFS - 10-year]:[ROIC QuickFS - 1-year]])&gt;=0.1,TRUE,IF(MIN(Screener[[#This Row],[ROIC QuickFS - 10-year]:[ROIC QuickFS - 1-year]])&gt;=0.08,"CHECK",FALSE))</f>
        <v>1</v>
      </c>
      <c r="Q13" s="11">
        <v>0.34760000000000002</v>
      </c>
      <c r="R13" s="11">
        <v>0.21920000000000001</v>
      </c>
      <c r="S13" s="11">
        <v>0.1777</v>
      </c>
      <c r="T13" s="11">
        <v>0.19919999999999999</v>
      </c>
      <c r="U13" s="10" t="b">
        <f>IF(MIN(Screener[[#This Row],[Equity - 10-year]:[Equity - 1-year]])&gt;=0.1,TRUE,IF(MIN(Screener[[#This Row],[Equity - 10-year]:[Equity - 1-year]])&gt;=0.08,"CHECK",FALSE))</f>
        <v>1</v>
      </c>
      <c r="V13" s="11">
        <v>0.75049999999999994</v>
      </c>
      <c r="W13" s="11">
        <v>0.35720000000000002</v>
      </c>
      <c r="X13" s="11">
        <v>0.36919999999999997</v>
      </c>
      <c r="Y13" s="11">
        <v>0.34460000000000002</v>
      </c>
      <c r="Z13" s="10" t="b">
        <f>IF(MIN(Screener[[#This Row],[EPS - 10-year]:[EPS - 1-year]])&gt;=0.1,TRUE,IF(MIN(Screener[[#This Row],[EPS - 10-year]:[EPS - 1-year]])&gt;=0.08,"CHECK",FALSE))</f>
        <v>1</v>
      </c>
      <c r="AA13" s="11">
        <v>0.69779999999999998</v>
      </c>
      <c r="AB13" s="11">
        <v>0.3871</v>
      </c>
      <c r="AC13" s="11">
        <v>0.47910000000000003</v>
      </c>
      <c r="AD13" s="11">
        <v>0.60160000000000002</v>
      </c>
      <c r="AE13" s="10" t="b">
        <f>IF(MIN(Screener[[#This Row],[Sales - 10-year]:[Sales - 1-year]])&gt;=0.1,TRUE,IF(MIN(Screener[[#This Row],[Sales - 10-year]:[Sales - 1-year]])&gt;=0.08,"CHECK",FALSE))</f>
        <v>1</v>
      </c>
      <c r="AF13" s="11">
        <v>0.56269999999999998</v>
      </c>
      <c r="AG13" s="11">
        <v>0.42830000000000001</v>
      </c>
      <c r="AH13" s="11">
        <v>0.46779999999999999</v>
      </c>
      <c r="AI13" s="11">
        <v>0.29310000000000003</v>
      </c>
      <c r="AJ13" s="10" t="b">
        <f>IF(MIN(Screener[[#This Row],[FCF - 10-year]:[FCF - 1-year]])&gt;=0.1,TRUE,IF(MIN(Screener[[#This Row],[FCF - 10-year]:[FCF - 1-year]])&gt;=0.08,"CHECK",FALSE))</f>
        <v>1</v>
      </c>
      <c r="AK13" s="11">
        <v>0.48159999999999997</v>
      </c>
      <c r="AL13" s="11">
        <v>0.28010000000000002</v>
      </c>
      <c r="AM13" s="11">
        <v>0.26490000000000002</v>
      </c>
      <c r="AN13" s="11">
        <v>0.22559999999999999</v>
      </c>
      <c r="AO13" s="10" t="b">
        <f>IF(MIN(Screener[[#This Row],[OCF - 10-year]:[OCF - 1-year]])&gt;=0.1,TRUE,IF(MIN(Screener[[#This Row],[OCF - 10-year]:[OCF - 1-year]])&gt;=0.08,"CHECK",FALSE))</f>
        <v>1</v>
      </c>
      <c r="AP13" s="11">
        <v>0.49640000000000001</v>
      </c>
      <c r="AQ13" s="11">
        <v>0.31240000000000001</v>
      </c>
      <c r="AR13" s="11">
        <v>0.2888</v>
      </c>
      <c r="AS13" s="11">
        <v>0.14369999999999999</v>
      </c>
    </row>
    <row r="14" spans="1:49" ht="16.5" thickBot="1" x14ac:dyDescent="0.3">
      <c r="A14" s="7" t="s">
        <v>128</v>
      </c>
      <c r="B14" s="10" t="s">
        <v>238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2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2" t="b">
        <f>IF(MIN(Screener[[#This Row],[ROIC - 10-year]:[ROIC - 1-year]])&gt;=0.1,TRUE,IF(MIN(Screener[[#This Row],[ROIC - 10-year]:[ROIC - 1-year]])&gt;=0.08,"CHECK",FALSE))</f>
        <v>0</v>
      </c>
      <c r="L14" s="11">
        <v>-0.21859999999999999</v>
      </c>
      <c r="M14" s="11">
        <v>-7.2800000000000004E-2</v>
      </c>
      <c r="N14" s="11">
        <v>-3.9E-2</v>
      </c>
      <c r="O14" s="11">
        <v>4.4999999999999997E-3</v>
      </c>
      <c r="P14" s="12" t="b">
        <f>IF(MIN(Screener[[#This Row],[ROIC QuickFS - 10-year]:[ROIC QuickFS - 1-year]])&gt;=0.1,TRUE,IF(MIN(Screener[[#This Row],[ROIC QuickFS - 10-year]:[ROIC QuickFS - 1-year]])&gt;=0.08,"CHECK",FALSE))</f>
        <v>0</v>
      </c>
      <c r="Q14" s="11">
        <v>-0.154</v>
      </c>
      <c r="R14" s="11">
        <v>-0.15459999999999999</v>
      </c>
      <c r="S14" s="11">
        <v>-8.7599999999999997E-2</v>
      </c>
      <c r="T14" s="11">
        <v>-5.21E-2</v>
      </c>
      <c r="U14" s="12" t="b">
        <f>IF(MIN(Screener[[#This Row],[Equity - 10-year]:[Equity - 1-year]])&gt;=0.1,TRUE,IF(MIN(Screener[[#This Row],[Equity - 10-year]:[Equity - 1-year]])&gt;=0.08,"CHECK",FALSE))</f>
        <v>0</v>
      </c>
      <c r="V14" s="11">
        <v>1.3018000000000001</v>
      </c>
      <c r="W14" s="11">
        <v>0.41949999999999998</v>
      </c>
      <c r="X14" s="11">
        <v>3.1800000000000002E-2</v>
      </c>
      <c r="Y14" s="11">
        <v>0.25309999999999999</v>
      </c>
      <c r="Z14" s="12" t="b">
        <f>IF(MIN(Screener[[#This Row],[EPS - 10-year]:[EPS - 1-year]])&gt;=0.1,TRUE,IF(MIN(Screener[[#This Row],[EPS - 10-year]:[EPS - 1-year]])&gt;=0.08,"CHECK",FALSE))</f>
        <v>0</v>
      </c>
      <c r="AA14" s="11">
        <v>-0.21479999999999999</v>
      </c>
      <c r="AB14" s="11">
        <v>-0.1583</v>
      </c>
      <c r="AC14" s="11">
        <v>-1.7600000000000001E-2</v>
      </c>
      <c r="AD14" s="11">
        <v>0.1404</v>
      </c>
      <c r="AE14" s="12" t="b">
        <f>IF(MIN(Screener[[#This Row],[Sales - 10-year]:[Sales - 1-year]])&gt;=0.1,TRUE,IF(MIN(Screener[[#This Row],[Sales - 10-year]:[Sales - 1-year]])&gt;=0.08,"CHECK",FALSE))</f>
        <v>1</v>
      </c>
      <c r="AF14" s="11">
        <v>0.71460000000000001</v>
      </c>
      <c r="AG14" s="11">
        <v>0.50360000000000005</v>
      </c>
      <c r="AH14" s="11">
        <v>0.51990000000000003</v>
      </c>
      <c r="AI14" s="11">
        <v>0.1452</v>
      </c>
      <c r="AJ14" s="12" t="b">
        <f>IF(MIN(Screener[[#This Row],[FCF - 10-year]:[FCF - 1-year]])&gt;=0.1,TRUE,IF(MIN(Screener[[#This Row],[FCF - 10-year]:[FCF - 1-year]])&gt;=0.08,"CHECK",FALSE))</f>
        <v>1</v>
      </c>
      <c r="AK14" s="11">
        <v>1.2766</v>
      </c>
      <c r="AL14" s="11">
        <v>1.1426000000000001</v>
      </c>
      <c r="AM14" s="11">
        <v>1.1749000000000001</v>
      </c>
      <c r="AN14" s="11">
        <v>5.4027000000000003</v>
      </c>
      <c r="AO14" s="12" t="b">
        <f>IF(MIN(Screener[[#This Row],[OCF - 10-year]:[OCF - 1-year]])&gt;=0.1,TRUE,IF(MIN(Screener[[#This Row],[OCF - 10-year]:[OCF - 1-year]])&gt;=0.08,"CHECK",FALSE))</f>
        <v>1</v>
      </c>
      <c r="AP14" s="11">
        <v>1.4086000000000001</v>
      </c>
      <c r="AQ14" s="11">
        <v>2.1212</v>
      </c>
      <c r="AR14" s="11">
        <v>2.7334000000000001</v>
      </c>
      <c r="AS14" s="11">
        <v>0.14630000000000001</v>
      </c>
    </row>
    <row r="15" spans="1:49" ht="16.5" thickBot="1" x14ac:dyDescent="0.3">
      <c r="A15" s="6" t="s">
        <v>131</v>
      </c>
      <c r="B15" s="10" t="s">
        <v>238</v>
      </c>
      <c r="C15" s="6" t="s">
        <v>169</v>
      </c>
      <c r="D15" s="6">
        <v>65535</v>
      </c>
      <c r="E15" s="6">
        <v>65535</v>
      </c>
      <c r="F15" s="6" t="s">
        <v>170</v>
      </c>
      <c r="G15" s="6" t="s">
        <v>96</v>
      </c>
      <c r="H15" s="6" t="s">
        <v>171</v>
      </c>
      <c r="I15" s="12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2" t="b">
        <f>IF(MIN(Screener[[#This Row],[ROIC - 10-year]:[ROIC - 1-year]])&gt;=0.1,TRUE,IF(MIN(Screener[[#This Row],[ROIC - 10-year]:[ROIC - 1-year]])&gt;=0.08,"CHECK",FALSE))</f>
        <v>0</v>
      </c>
      <c r="L15" s="11">
        <v>-1.46E-2</v>
      </c>
      <c r="M15" s="11">
        <v>6.8999999999999999E-3</v>
      </c>
      <c r="N15" s="11">
        <v>5.9999999999999995E-4</v>
      </c>
      <c r="O15" s="11">
        <v>4.0500000000000001E-2</v>
      </c>
      <c r="P15" s="12" t="b">
        <f>IF(MIN(Screener[[#This Row],[ROIC QuickFS - 10-year]:[ROIC QuickFS - 1-year]])&gt;=0.1,TRUE,IF(MIN(Screener[[#This Row],[ROIC QuickFS - 10-year]:[ROIC QuickFS - 1-year]])&gt;=0.08,"CHECK",FALSE))</f>
        <v>0</v>
      </c>
      <c r="Q15" s="11">
        <v>-1.54E-2</v>
      </c>
      <c r="R15" s="11">
        <v>1.67E-2</v>
      </c>
      <c r="S15" s="11">
        <v>1.6000000000000001E-3</v>
      </c>
      <c r="T15" s="11">
        <v>9.0800000000000006E-2</v>
      </c>
      <c r="U15" s="12" t="b">
        <f>IF(MIN(Screener[[#This Row],[Equity - 10-year]:[Equity - 1-year]])&gt;=0.1,TRUE,IF(MIN(Screener[[#This Row],[Equity - 10-year]:[Equity - 1-year]])&gt;=0.08,"CHECK",FALSE))</f>
        <v>0</v>
      </c>
      <c r="V15" s="11">
        <v>-4.1799999999999997E-2</v>
      </c>
      <c r="W15" s="11">
        <v>-1.6799999999999999E-2</v>
      </c>
      <c r="X15" s="11">
        <v>-1.6199999999999999E-2</v>
      </c>
      <c r="Y15" s="11">
        <v>-1.0500000000000001E-2</v>
      </c>
      <c r="Z15" s="12" t="b">
        <f>IF(MIN(Screener[[#This Row],[EPS - 10-year]:[EPS - 1-year]])&gt;=0.1,TRUE,IF(MIN(Screener[[#This Row],[EPS - 10-year]:[EPS - 1-year]])&gt;=0.08,"CHECK",FALSE))</f>
        <v>0</v>
      </c>
      <c r="AA15" s="11">
        <v>-0.13469999999999999</v>
      </c>
      <c r="AB15" s="11">
        <v>1.0244</v>
      </c>
      <c r="AC15" s="11">
        <v>0.74719999999999998</v>
      </c>
      <c r="AD15" s="11">
        <v>6.6699999999999995E-2</v>
      </c>
      <c r="AE15" s="12" t="b">
        <f>IF(MIN(Screener[[#This Row],[Sales - 10-year]:[Sales - 1-year]])&gt;=0.1,TRUE,IF(MIN(Screener[[#This Row],[Sales - 10-year]:[Sales - 1-year]])&gt;=0.08,"CHECK",FALSE))</f>
        <v>0</v>
      </c>
      <c r="AF15" s="11">
        <v>-7.1199999999999999E-2</v>
      </c>
      <c r="AG15" s="11">
        <v>-8.2699999999999996E-2</v>
      </c>
      <c r="AH15" s="11">
        <v>-7.3000000000000001E-3</v>
      </c>
      <c r="AI15" s="11">
        <v>-6.4000000000000003E-3</v>
      </c>
      <c r="AJ15" s="12" t="b">
        <f>IF(MIN(Screener[[#This Row],[FCF - 10-year]:[FCF - 1-year]])&gt;=0.1,TRUE,IF(MIN(Screener[[#This Row],[FCF - 10-year]:[FCF - 1-year]])&gt;=0.08,"CHECK",FALSE))</f>
        <v>0</v>
      </c>
      <c r="AK15" s="11">
        <v>7.7100000000000002E-2</v>
      </c>
      <c r="AL15" s="11">
        <v>0.23019999999999999</v>
      </c>
      <c r="AM15" s="11">
        <v>-0.31969999999999998</v>
      </c>
      <c r="AN15" s="11">
        <v>0.6794</v>
      </c>
      <c r="AO15" s="12" t="b">
        <f>IF(MIN(Screener[[#This Row],[OCF - 10-year]:[OCF - 1-year]])&gt;=0.1,TRUE,IF(MIN(Screener[[#This Row],[OCF - 10-year]:[OCF - 1-year]])&gt;=0.08,"CHECK",FALSE))</f>
        <v>0</v>
      </c>
      <c r="AP15" s="11">
        <v>7.7899999999999997E-2</v>
      </c>
      <c r="AQ15" s="11">
        <v>0.24959999999999999</v>
      </c>
      <c r="AR15" s="11">
        <v>-0.37930000000000003</v>
      </c>
      <c r="AS15" s="11">
        <v>0.7238</v>
      </c>
    </row>
    <row r="16" spans="1:49" ht="16.5" thickBot="1" x14ac:dyDescent="0.3">
      <c r="A16" s="6" t="s">
        <v>133</v>
      </c>
      <c r="B16" s="10" t="s">
        <v>238</v>
      </c>
      <c r="C16" s="6" t="s">
        <v>173</v>
      </c>
      <c r="D16" s="6" t="s">
        <v>99</v>
      </c>
      <c r="E16" s="6" t="s">
        <v>174</v>
      </c>
      <c r="F16" s="6" t="s">
        <v>97</v>
      </c>
      <c r="G16" s="6" t="s">
        <v>96</v>
      </c>
      <c r="H16" s="6" t="s">
        <v>98</v>
      </c>
      <c r="I16" s="13" t="b">
        <f>IF(COUNTIF(Screener[[#This Row],[Debt - Payoff Possible]:[OCF - 1-year]],TRUE)&gt;=7,TRUE,IF(COUNTIF(Screener[[#This Row],[Debt - Payoff Possible]:[OCF - 1-year]],FALSE)&lt;=3,"CHECK",FALSE))</f>
        <v>0</v>
      </c>
      <c r="J16" s="14" t="b">
        <v>1</v>
      </c>
      <c r="K16" s="13" t="b">
        <f>IF(MIN(Screener[[#This Row],[ROIC - 10-year]:[ROIC - 1-year]])&gt;=0.1,TRUE,IF(MIN(Screener[[#This Row],[ROIC - 10-year]:[ROIC - 1-year]])&gt;=0.08,"CHECK",FALSE))</f>
        <v>0</v>
      </c>
      <c r="L16" s="11">
        <v>1.32E-2</v>
      </c>
      <c r="M16" s="11">
        <v>-7.4899999999999994E-2</v>
      </c>
      <c r="N16" s="11">
        <v>-5.7299999999999997E-2</v>
      </c>
      <c r="O16" s="11">
        <v>0.1285</v>
      </c>
      <c r="P16" s="13" t="b">
        <f>IF(MIN(Screener[[#This Row],[ROIC QuickFS - 10-year]:[ROIC QuickFS - 1-year]])&gt;=0.1,TRUE,IF(MIN(Screener[[#This Row],[ROIC QuickFS - 10-year]:[ROIC QuickFS - 1-year]])&gt;=0.08,"CHECK",FALSE))</f>
        <v>0</v>
      </c>
      <c r="Q16" s="11">
        <v>-4.4000000000000003E-3</v>
      </c>
      <c r="R16" s="11">
        <v>-0.27510000000000001</v>
      </c>
      <c r="S16" s="11">
        <v>-0.25159999999999999</v>
      </c>
      <c r="T16" s="11">
        <v>0.27260000000000001</v>
      </c>
      <c r="U16" s="13" t="b">
        <f>IF(MIN(Screener[[#This Row],[Equity - 10-year]:[Equity - 1-year]])&gt;=0.1,TRUE,IF(MIN(Screener[[#This Row],[Equity - 10-year]:[Equity - 1-year]])&gt;=0.08,"CHECK",FALSE))</f>
        <v>0</v>
      </c>
      <c r="V16" s="11">
        <v>-0.221</v>
      </c>
      <c r="W16" s="11">
        <v>-0.43440000000000001</v>
      </c>
      <c r="X16" s="11">
        <v>-0.48380000000000001</v>
      </c>
      <c r="Y16" s="11">
        <v>0.35120000000000001</v>
      </c>
      <c r="Z16" s="13" t="b">
        <f>IF(MIN(Screener[[#This Row],[EPS - 10-year]:[EPS - 1-year]])&gt;=0.1,TRUE,IF(MIN(Screener[[#This Row],[EPS - 10-year]:[EPS - 1-year]])&gt;=0.08,"CHECK",FALSE))</f>
        <v>1</v>
      </c>
      <c r="AA16" s="11">
        <v>0.14399999999999999</v>
      </c>
      <c r="AB16" s="11">
        <v>0.22359999999999999</v>
      </c>
      <c r="AC16" s="11">
        <v>1.1101000000000001</v>
      </c>
      <c r="AD16" s="11">
        <v>3.5945999999999998</v>
      </c>
      <c r="AE16" s="13" t="b">
        <f>IF(MIN(Screener[[#This Row],[Sales - 10-year]:[Sales - 1-year]])&gt;=0.1,TRUE,IF(MIN(Screener[[#This Row],[Sales - 10-year]:[Sales - 1-year]])&gt;=0.08,"CHECK",FALSE))</f>
        <v>0</v>
      </c>
      <c r="AF16" s="11">
        <v>6.6900000000000001E-2</v>
      </c>
      <c r="AG16" s="11">
        <v>5.4399999999999997E-2</v>
      </c>
      <c r="AH16" s="11">
        <v>0.1726</v>
      </c>
      <c r="AI16" s="11">
        <v>0.27410000000000001</v>
      </c>
      <c r="AJ16" s="13" t="b">
        <f>IF(MIN(Screener[[#This Row],[FCF - 10-year]:[FCF - 1-year]])&gt;=0.1,TRUE,IF(MIN(Screener[[#This Row],[FCF - 10-year]:[FCF - 1-year]])&gt;=0.08,"CHECK",FALSE))</f>
        <v>1</v>
      </c>
      <c r="AK16" s="11">
        <v>0.20680000000000001</v>
      </c>
      <c r="AL16" s="11">
        <v>0.1656</v>
      </c>
      <c r="AM16" s="11">
        <v>1.4403999999999999</v>
      </c>
      <c r="AN16" s="11">
        <v>3.3917999999999999</v>
      </c>
      <c r="AO16" s="12" t="b">
        <f>IF(MIN(Screener[[#This Row],[OCF - 10-year]:[OCF - 1-year]])&gt;=0.1,TRUE,IF(MIN(Screener[[#This Row],[OCF - 10-year]:[OCF - 1-year]])&gt;=0.08,"CHECK",FALSE))</f>
        <v>1</v>
      </c>
      <c r="AP16" s="11">
        <v>0.1908</v>
      </c>
      <c r="AQ16" s="11">
        <v>0.1484</v>
      </c>
      <c r="AR16" s="11">
        <v>1.0278</v>
      </c>
      <c r="AS16" s="11">
        <v>2.7526000000000002</v>
      </c>
    </row>
    <row r="17" spans="1:45" ht="16.5" thickBot="1" x14ac:dyDescent="0.3">
      <c r="A17" s="6" t="s">
        <v>134</v>
      </c>
      <c r="B17" s="10" t="s">
        <v>238</v>
      </c>
      <c r="C17" s="6" t="s">
        <v>176</v>
      </c>
      <c r="D17" s="6" t="s">
        <v>99</v>
      </c>
      <c r="E17" s="6" t="s">
        <v>174</v>
      </c>
      <c r="F17" s="6" t="s">
        <v>97</v>
      </c>
      <c r="G17" s="6" t="s">
        <v>96</v>
      </c>
      <c r="H17" s="6" t="s">
        <v>98</v>
      </c>
      <c r="I17" s="13" t="str">
        <f>IF(COUNTIF(Screener[[#This Row],[Debt - Payoff Possible]:[OCF - 1-year]],TRUE)&gt;=7,TRUE,IF(COUNTIF(Screener[[#This Row],[Debt - Payoff Possible]:[OCF - 1-year]],FALSE)&lt;=3,"CHECK",FALSE))</f>
        <v>CHECK</v>
      </c>
      <c r="J17" s="14" t="b">
        <v>1</v>
      </c>
      <c r="K17" s="13" t="b">
        <f>IF(MIN(Screener[[#This Row],[ROIC - 10-year]:[ROIC - 1-year]])&gt;=0.1,TRUE,IF(MIN(Screener[[#This Row],[ROIC - 10-year]:[ROIC - 1-year]])&gt;=0.08,"CHECK",FALSE))</f>
        <v>1</v>
      </c>
      <c r="L17" s="11">
        <v>0.1134</v>
      </c>
      <c r="M17" s="11">
        <v>0.1229</v>
      </c>
      <c r="N17" s="11">
        <v>0.12709999999999999</v>
      </c>
      <c r="O17" s="11">
        <v>0.1125</v>
      </c>
      <c r="P17" s="13" t="b">
        <f>IF(MIN(Screener[[#This Row],[ROIC QuickFS - 10-year]:[ROIC QuickFS - 1-year]])&gt;=0.1,TRUE,IF(MIN(Screener[[#This Row],[ROIC QuickFS - 10-year]:[ROIC QuickFS - 1-year]])&gt;=0.08,"CHECK",FALSE))</f>
        <v>1</v>
      </c>
      <c r="Q17" s="11">
        <v>0.1757</v>
      </c>
      <c r="R17" s="11">
        <v>0.1988</v>
      </c>
      <c r="S17" s="11">
        <v>0.20880000000000001</v>
      </c>
      <c r="T17" s="11">
        <v>0.1789</v>
      </c>
      <c r="U17" s="13" t="b">
        <f>IF(MIN(Screener[[#This Row],[Equity - 10-year]:[Equity - 1-year]])&gt;=0.1,TRUE,IF(MIN(Screener[[#This Row],[Equity - 10-year]:[Equity - 1-year]])&gt;=0.08,"CHECK",FALSE))</f>
        <v>1</v>
      </c>
      <c r="V17" s="11">
        <v>0.1089</v>
      </c>
      <c r="W17" s="11">
        <v>0.1129</v>
      </c>
      <c r="X17" s="11">
        <v>0.17430000000000001</v>
      </c>
      <c r="Y17" s="11">
        <v>0.30320000000000003</v>
      </c>
      <c r="Z17" s="13" t="b">
        <f>IF(MIN(Screener[[#This Row],[EPS - 10-year]:[EPS - 1-year]])&gt;=0.1,TRUE,IF(MIN(Screener[[#This Row],[EPS - 10-year]:[EPS - 1-year]])&gt;=0.08,"CHECK",FALSE))</f>
        <v>0</v>
      </c>
      <c r="AA17" s="11">
        <v>0.1525</v>
      </c>
      <c r="AB17" s="11">
        <v>0.14219999999999999</v>
      </c>
      <c r="AC17" s="11">
        <v>0.2064</v>
      </c>
      <c r="AD17" s="11">
        <v>7.5800000000000006E-2</v>
      </c>
      <c r="AE17" s="13" t="b">
        <f>IF(MIN(Screener[[#This Row],[Sales - 10-year]:[Sales - 1-year]])&gt;=0.1,TRUE,IF(MIN(Screener[[#This Row],[Sales - 10-year]:[Sales - 1-year]])&gt;=0.08,"CHECK",FALSE))</f>
        <v>1</v>
      </c>
      <c r="AF17" s="11">
        <v>0.11360000000000001</v>
      </c>
      <c r="AG17" s="11">
        <v>0.1012</v>
      </c>
      <c r="AH17" s="11">
        <v>0.1532</v>
      </c>
      <c r="AI17" s="11">
        <v>0.17180000000000001</v>
      </c>
      <c r="AJ17" s="13" t="b">
        <f>IF(MIN(Screener[[#This Row],[FCF - 10-year]:[FCF - 1-year]])&gt;=0.1,TRUE,IF(MIN(Screener[[#This Row],[FCF - 10-year]:[FCF - 1-year]])&gt;=0.08,"CHECK",FALSE))</f>
        <v>0</v>
      </c>
      <c r="AK17" s="11">
        <v>0.1065</v>
      </c>
      <c r="AL17" s="11">
        <v>4.8399999999999999E-2</v>
      </c>
      <c r="AM17" s="11">
        <v>8.77E-2</v>
      </c>
      <c r="AN17" s="11">
        <v>-1.78E-2</v>
      </c>
      <c r="AO17" s="12" t="b">
        <f>IF(MIN(Screener[[#This Row],[OCF - 10-year]:[OCF - 1-year]])&gt;=0.1,TRUE,IF(MIN(Screener[[#This Row],[OCF - 10-year]:[OCF - 1-year]])&gt;=0.08,"CHECK",FALSE))</f>
        <v>0</v>
      </c>
      <c r="AP17" s="11">
        <v>0.1115</v>
      </c>
      <c r="AQ17" s="11">
        <v>5.3499999999999999E-2</v>
      </c>
      <c r="AR17" s="11">
        <v>0.1096</v>
      </c>
      <c r="AS17" s="11">
        <v>3.0800000000000001E-2</v>
      </c>
    </row>
    <row r="18" spans="1:45" ht="16.5" thickBot="1" x14ac:dyDescent="0.3">
      <c r="A18" s="6" t="s">
        <v>135</v>
      </c>
      <c r="B18" s="10" t="s">
        <v>238</v>
      </c>
      <c r="C18" s="6" t="s">
        <v>177</v>
      </c>
      <c r="D18" s="6" t="s">
        <v>102</v>
      </c>
      <c r="E18" s="6" t="s">
        <v>178</v>
      </c>
      <c r="F18" s="6" t="s">
        <v>97</v>
      </c>
      <c r="G18" s="6" t="s">
        <v>96</v>
      </c>
      <c r="H18" s="6" t="s">
        <v>98</v>
      </c>
      <c r="I18" s="13" t="b">
        <f>IF(COUNTIF(Screener[[#This Row],[Debt - Payoff Possible]:[OCF - 1-year]],TRUE)&gt;=7,TRUE,IF(COUNTIF(Screener[[#This Row],[Debt - Payoff Possible]:[OCF - 1-year]],FALSE)&lt;=3,"CHECK",FALSE))</f>
        <v>0</v>
      </c>
      <c r="J18" s="14" t="b">
        <v>1</v>
      </c>
      <c r="K18" s="13" t="str">
        <f>IF(MIN(Screener[[#This Row],[ROIC - 10-year]:[ROIC - 1-year]])&gt;=0.1,TRUE,IF(MIN(Screener[[#This Row],[ROIC - 10-year]:[ROIC - 1-year]])&gt;=0.08,"CHECK",FALSE))</f>
        <v>CHECK</v>
      </c>
      <c r="L18" s="11">
        <v>8.9300000000000004E-2</v>
      </c>
      <c r="M18" s="11">
        <v>8.8099999999999998E-2</v>
      </c>
      <c r="N18" s="11">
        <v>8.8599999999999998E-2</v>
      </c>
      <c r="O18" s="11">
        <v>0.10340000000000001</v>
      </c>
      <c r="P18" s="13" t="b">
        <f>IF(MIN(Screener[[#This Row],[ROIC QuickFS - 10-year]:[ROIC QuickFS - 1-year]])&gt;=0.1,TRUE,IF(MIN(Screener[[#This Row],[ROIC QuickFS - 10-year]:[ROIC QuickFS - 1-year]])&gt;=0.08,"CHECK",FALSE))</f>
        <v>1</v>
      </c>
      <c r="Q18" s="11">
        <v>0.1195</v>
      </c>
      <c r="R18" s="11">
        <v>0.1145</v>
      </c>
      <c r="S18" s="11">
        <v>0.12529999999999999</v>
      </c>
      <c r="T18" s="11">
        <v>0.15390000000000001</v>
      </c>
      <c r="U18" s="13" t="b">
        <f>IF(MIN(Screener[[#This Row],[Equity - 10-year]:[Equity - 1-year]])&gt;=0.1,TRUE,IF(MIN(Screener[[#This Row],[Equity - 10-year]:[Equity - 1-year]])&gt;=0.08,"CHECK",FALSE))</f>
        <v>0</v>
      </c>
      <c r="V18" s="11">
        <v>7.3099999999999998E-2</v>
      </c>
      <c r="W18" s="11">
        <v>0.1076</v>
      </c>
      <c r="X18" s="11">
        <v>0.1115</v>
      </c>
      <c r="Y18" s="11">
        <v>0.124</v>
      </c>
      <c r="Z18" s="13" t="b">
        <f>IF(MIN(Screener[[#This Row],[EPS - 10-year]:[EPS - 1-year]])&gt;=0.1,TRUE,IF(MIN(Screener[[#This Row],[EPS - 10-year]:[EPS - 1-year]])&gt;=0.08,"CHECK",FALSE))</f>
        <v>0</v>
      </c>
      <c r="AA18" s="11">
        <v>0.36009999999999998</v>
      </c>
      <c r="AB18" s="11">
        <v>0.1153</v>
      </c>
      <c r="AC18" s="11">
        <v>0.15060000000000001</v>
      </c>
      <c r="AD18" s="11">
        <v>-0.1875</v>
      </c>
      <c r="AE18" s="13" t="b">
        <f>IF(MIN(Screener[[#This Row],[Sales - 10-year]:[Sales - 1-year]])&gt;=0.1,TRUE,IF(MIN(Screener[[#This Row],[Sales - 10-year]:[Sales - 1-year]])&gt;=0.08,"CHECK",FALSE))</f>
        <v>0</v>
      </c>
      <c r="AF18" s="11">
        <v>4.2500000000000003E-2</v>
      </c>
      <c r="AG18" s="11">
        <v>8.0399999999999999E-2</v>
      </c>
      <c r="AH18" s="11">
        <v>-6.0000000000000001E-3</v>
      </c>
      <c r="AI18" s="11">
        <v>-0.1348</v>
      </c>
      <c r="AJ18" s="13" t="b">
        <f>IF(MIN(Screener[[#This Row],[FCF - 10-year]:[FCF - 1-year]])&gt;=0.1,TRUE,IF(MIN(Screener[[#This Row],[FCF - 10-year]:[FCF - 1-year]])&gt;=0.08,"CHECK",FALSE))</f>
        <v>0</v>
      </c>
      <c r="AK18" s="11">
        <v>4.41E-2</v>
      </c>
      <c r="AL18" s="11">
        <v>6.9800000000000001E-2</v>
      </c>
      <c r="AM18" s="11">
        <v>-5.2900000000000003E-2</v>
      </c>
      <c r="AN18" s="11">
        <v>3.3799999999999997E-2</v>
      </c>
      <c r="AO18" s="12" t="b">
        <f>IF(MIN(Screener[[#This Row],[OCF - 10-year]:[OCF - 1-year]])&gt;=0.1,TRUE,IF(MIN(Screener[[#This Row],[OCF - 10-year]:[OCF - 1-year]])&gt;=0.08,"CHECK",FALSE))</f>
        <v>0</v>
      </c>
      <c r="AP18" s="11">
        <v>4.4600000000000001E-2</v>
      </c>
      <c r="AQ18" s="11">
        <v>6.59E-2</v>
      </c>
      <c r="AR18" s="11">
        <v>-5.2900000000000003E-2</v>
      </c>
      <c r="AS18" s="11">
        <v>2.29E-2</v>
      </c>
    </row>
    <row r="19" spans="1:45" ht="16.5" thickBot="1" x14ac:dyDescent="0.3">
      <c r="A19" s="6" t="s">
        <v>136</v>
      </c>
      <c r="B19" s="10" t="s">
        <v>238</v>
      </c>
      <c r="C19" s="6" t="s">
        <v>179</v>
      </c>
      <c r="D19" s="6" t="s">
        <v>109</v>
      </c>
      <c r="E19" s="6" t="s">
        <v>110</v>
      </c>
      <c r="F19" s="6" t="s">
        <v>180</v>
      </c>
      <c r="G19" s="6" t="s">
        <v>96</v>
      </c>
      <c r="H19" s="6" t="s">
        <v>108</v>
      </c>
      <c r="I19" s="13" t="b">
        <f>IF(COUNTIF(Screener[[#This Row],[Debt - Payoff Possible]:[OCF - 1-year]],TRUE)&gt;=7,TRUE,IF(COUNTIF(Screener[[#This Row],[Debt - Payoff Possible]:[OCF - 1-year]],FALSE)&lt;=3,"CHECK",FALSE))</f>
        <v>0</v>
      </c>
      <c r="J19" s="14" t="b">
        <v>1</v>
      </c>
      <c r="K19" s="13" t="b">
        <f>IF(MIN(Screener[[#This Row],[ROIC - 10-year]:[ROIC - 1-year]])&gt;=0.1,TRUE,IF(MIN(Screener[[#This Row],[ROIC - 10-year]:[ROIC - 1-year]])&gt;=0.08,"CHECK",FALSE))</f>
        <v>1</v>
      </c>
      <c r="L19" s="11">
        <v>123.7227</v>
      </c>
      <c r="M19" s="11">
        <v>247.41890000000001</v>
      </c>
      <c r="N19" s="11">
        <v>412.54039999999998</v>
      </c>
      <c r="O19" s="11">
        <v>1236.0242000000001</v>
      </c>
      <c r="P19" s="13" t="b">
        <f>IF(MIN(Screener[[#This Row],[ROIC QuickFS - 10-year]:[ROIC QuickFS - 1-year]])&gt;=0.1,TRUE,IF(MIN(Screener[[#This Row],[ROIC QuickFS - 10-year]:[ROIC QuickFS - 1-year]])&gt;=0.08,"CHECK",FALSE))</f>
        <v>0</v>
      </c>
      <c r="Q19" s="11">
        <v>-7.3999999999999996E-2</v>
      </c>
      <c r="R19" s="11">
        <v>-0.1123</v>
      </c>
      <c r="S19" s="11">
        <v>-9.3100000000000002E-2</v>
      </c>
      <c r="T19" s="11">
        <v>-0.27529999999999999</v>
      </c>
      <c r="U19" s="13" t="b">
        <f>IF(MIN(Screener[[#This Row],[Equity - 10-year]:[Equity - 1-year]])&gt;=0.1,TRUE,IF(MIN(Screener[[#This Row],[Equity - 10-year]:[Equity - 1-year]])&gt;=0.08,"CHECK",FALSE))</f>
        <v>0</v>
      </c>
      <c r="V19" s="11">
        <v>-8.0500000000000002E-2</v>
      </c>
      <c r="W19" s="11">
        <v>-0.14510000000000001</v>
      </c>
      <c r="X19" s="11">
        <v>-0.24890000000000001</v>
      </c>
      <c r="Y19" s="11">
        <v>-1.8675999999999999</v>
      </c>
      <c r="Z19" s="13" t="b">
        <f>IF(MIN(Screener[[#This Row],[EPS - 10-year]:[EPS - 1-year]])&gt;=0.1,TRUE,IF(MIN(Screener[[#This Row],[EPS - 10-year]:[EPS - 1-year]])&gt;=0.08,"CHECK",FALSE))</f>
        <v>0</v>
      </c>
      <c r="AA19" s="11">
        <v>-0.29020000000000001</v>
      </c>
      <c r="AB19" s="11">
        <v>-0.87880000000000003</v>
      </c>
      <c r="AC19" s="11">
        <v>-1.4742</v>
      </c>
      <c r="AD19" s="11">
        <v>-2.5516999999999999</v>
      </c>
      <c r="AE19" s="13" t="b">
        <f>IF(MIN(Screener[[#This Row],[Sales - 10-year]:[Sales - 1-year]])&gt;=0.1,TRUE,IF(MIN(Screener[[#This Row],[Sales - 10-year]:[Sales - 1-year]])&gt;=0.08,"CHECK",FALSE))</f>
        <v>0</v>
      </c>
      <c r="AF19" s="11">
        <v>0.20669999999999999</v>
      </c>
      <c r="AG19" s="11">
        <v>4.8800000000000003E-2</v>
      </c>
      <c r="AH19" s="11">
        <v>0.1192</v>
      </c>
      <c r="AI19" s="11">
        <v>0.1953</v>
      </c>
      <c r="AJ19" s="13" t="b">
        <f>IF(MIN(Screener[[#This Row],[FCF - 10-year]:[FCF - 1-year]])&gt;=0.1,TRUE,IF(MIN(Screener[[#This Row],[FCF - 10-year]:[FCF - 1-year]])&gt;=0.08,"CHECK",FALSE))</f>
        <v>1</v>
      </c>
      <c r="AK19" s="11">
        <v>1.0993999999999999</v>
      </c>
      <c r="AL19" s="11">
        <v>1.5059</v>
      </c>
      <c r="AM19" s="11">
        <v>0.7107</v>
      </c>
      <c r="AN19" s="11">
        <v>0.1137</v>
      </c>
      <c r="AO19" s="12" t="b">
        <f>IF(MIN(Screener[[#This Row],[OCF - 10-year]:[OCF - 1-year]])&gt;=0.1,TRUE,IF(MIN(Screener[[#This Row],[OCF - 10-year]:[OCF - 1-year]])&gt;=0.08,"CHECK",FALSE))</f>
        <v>1</v>
      </c>
      <c r="AP19" s="11">
        <v>0.64470000000000005</v>
      </c>
      <c r="AQ19" s="11">
        <v>0.41199999999999998</v>
      </c>
      <c r="AR19" s="11">
        <v>2.3994</v>
      </c>
      <c r="AS19" s="11">
        <v>0.39090000000000003</v>
      </c>
    </row>
    <row r="20" spans="1:45" ht="16.5" thickBot="1" x14ac:dyDescent="0.3">
      <c r="A20" s="6" t="s">
        <v>137</v>
      </c>
      <c r="B20" s="10" t="s">
        <v>238</v>
      </c>
      <c r="C20" s="6" t="s">
        <v>182</v>
      </c>
      <c r="D20" s="6" t="s">
        <v>102</v>
      </c>
      <c r="E20" s="6" t="s">
        <v>103</v>
      </c>
      <c r="F20" s="6" t="s">
        <v>97</v>
      </c>
      <c r="G20" s="6" t="s">
        <v>96</v>
      </c>
      <c r="H20" s="6" t="s">
        <v>108</v>
      </c>
      <c r="I20" s="13" t="b">
        <f>IF(COUNTIF(Screener[[#This Row],[Debt - Payoff Possible]:[OCF - 1-year]],TRUE)&gt;=7,TRUE,IF(COUNTIF(Screener[[#This Row],[Debt - Payoff Possible]:[OCF - 1-year]],FALSE)&lt;=3,"CHECK",FALSE))</f>
        <v>0</v>
      </c>
      <c r="J20" s="14" t="b">
        <v>0</v>
      </c>
      <c r="K20" s="13" t="str">
        <f>IF(MIN(Screener[[#This Row],[ROIC - 10-year]:[ROIC - 1-year]])&gt;=0.1,TRUE,IF(MIN(Screener[[#This Row],[ROIC - 10-year]:[ROIC - 1-year]])&gt;=0.08,"CHECK",FALSE))</f>
        <v>CHECK</v>
      </c>
      <c r="L20" s="11">
        <v>9.0899999999999995E-2</v>
      </c>
      <c r="M20" s="11">
        <v>9.8500000000000004E-2</v>
      </c>
      <c r="N20" s="11">
        <v>9.7699999999999995E-2</v>
      </c>
      <c r="O20" s="11">
        <v>8.9399999999999993E-2</v>
      </c>
      <c r="P20" s="13" t="b">
        <f>IF(MIN(Screener[[#This Row],[ROIC QuickFS - 10-year]:[ROIC QuickFS - 1-year]])&gt;=0.1,TRUE,IF(MIN(Screener[[#This Row],[ROIC QuickFS - 10-year]:[ROIC QuickFS - 1-year]])&gt;=0.08,"CHECK",FALSE))</f>
        <v>0</v>
      </c>
      <c r="Q20" s="11">
        <v>7.3999999999999996E-2</v>
      </c>
      <c r="R20" s="11">
        <v>8.0399999999999999E-2</v>
      </c>
      <c r="S20" s="11">
        <v>7.2900000000000006E-2</v>
      </c>
      <c r="T20" s="11">
        <v>5.3699999999999998E-2</v>
      </c>
      <c r="U20" s="13" t="b">
        <f>IF(MIN(Screener[[#This Row],[Equity - 10-year]:[Equity - 1-year]])&gt;=0.1,TRUE,IF(MIN(Screener[[#This Row],[Equity - 10-year]:[Equity - 1-year]])&gt;=0.08,"CHECK",FALSE))</f>
        <v>0</v>
      </c>
      <c r="V20" s="11">
        <v>4.1200000000000001E-2</v>
      </c>
      <c r="W20" s="11">
        <v>4.9200000000000001E-2</v>
      </c>
      <c r="X20" s="11">
        <v>4.1500000000000002E-2</v>
      </c>
      <c r="Y20" s="11">
        <v>2.5899999999999999E-2</v>
      </c>
      <c r="Z20" s="13" t="b">
        <f>IF(MIN(Screener[[#This Row],[EPS - 10-year]:[EPS - 1-year]])&gt;=0.1,TRUE,IF(MIN(Screener[[#This Row],[EPS - 10-year]:[EPS - 1-year]])&gt;=0.08,"CHECK",FALSE))</f>
        <v>0</v>
      </c>
      <c r="AA20" s="11">
        <v>6.4799999999999996E-2</v>
      </c>
      <c r="AB20" s="11">
        <v>-3.5999999999999999E-3</v>
      </c>
      <c r="AC20" s="11">
        <v>-9.3799999999999994E-2</v>
      </c>
      <c r="AD20" s="11">
        <v>-0.10929999999999999</v>
      </c>
      <c r="AE20" s="13" t="b">
        <f>IF(MIN(Screener[[#This Row],[Sales - 10-year]:[Sales - 1-year]])&gt;=0.1,TRUE,IF(MIN(Screener[[#This Row],[Sales - 10-year]:[Sales - 1-year]])&gt;=0.08,"CHECK",FALSE))</f>
        <v>0</v>
      </c>
      <c r="AF20" s="11">
        <v>5.21E-2</v>
      </c>
      <c r="AG20" s="11">
        <v>4.5600000000000002E-2</v>
      </c>
      <c r="AH20" s="11">
        <v>0.04</v>
      </c>
      <c r="AI20" s="11">
        <v>1.9E-2</v>
      </c>
      <c r="AJ20" s="13" t="b">
        <f>IF(MIN(Screener[[#This Row],[FCF - 10-year]:[FCF - 1-year]])&gt;=0.1,TRUE,IF(MIN(Screener[[#This Row],[FCF - 10-year]:[FCF - 1-year]])&gt;=0.08,"CHECK",FALSE))</f>
        <v>0</v>
      </c>
      <c r="AK20" s="11">
        <v>1.5263</v>
      </c>
      <c r="AL20" s="11">
        <v>4.24E-2</v>
      </c>
      <c r="AM20" s="11">
        <v>0.23280000000000001</v>
      </c>
      <c r="AN20" s="11">
        <v>0.2177</v>
      </c>
      <c r="AO20" s="12" t="b">
        <f>IF(MIN(Screener[[#This Row],[OCF - 10-year]:[OCF - 1-year]])&gt;=0.1,TRUE,IF(MIN(Screener[[#This Row],[OCF - 10-year]:[OCF - 1-year]])&gt;=0.08,"CHECK",FALSE))</f>
        <v>0</v>
      </c>
      <c r="AP20" s="11">
        <v>0.1226</v>
      </c>
      <c r="AQ20" s="11">
        <v>4.3299999999999998E-2</v>
      </c>
      <c r="AR20" s="11">
        <v>6.6799999999999998E-2</v>
      </c>
      <c r="AS20" s="11">
        <v>9.1000000000000004E-3</v>
      </c>
    </row>
    <row r="21" spans="1:45" ht="16.5" thickBot="1" x14ac:dyDescent="0.3">
      <c r="A21" s="6" t="s">
        <v>138</v>
      </c>
      <c r="B21" s="10" t="s">
        <v>238</v>
      </c>
      <c r="C21" s="6" t="s">
        <v>183</v>
      </c>
      <c r="D21" s="6" t="s">
        <v>109</v>
      </c>
      <c r="E21" s="6" t="s">
        <v>110</v>
      </c>
      <c r="F21" s="6" t="s">
        <v>184</v>
      </c>
      <c r="G21" s="6" t="s">
        <v>96</v>
      </c>
      <c r="H21" s="6" t="s">
        <v>171</v>
      </c>
      <c r="I21" s="13" t="b">
        <f>IF(COUNTIF(Screener[[#This Row],[Debt - Payoff Possible]:[OCF - 1-year]],TRUE)&gt;=7,TRUE,IF(COUNTIF(Screener[[#This Row],[Debt - Payoff Possible]:[OCF - 1-year]],FALSE)&lt;=3,"CHECK",FALSE))</f>
        <v>0</v>
      </c>
      <c r="J21" s="14" t="b">
        <v>0</v>
      </c>
      <c r="K21" s="13" t="b">
        <f>IF(MIN(Screener[[#This Row],[ROIC - 10-year]:[ROIC - 1-year]])&gt;=0.1,TRUE,IF(MIN(Screener[[#This Row],[ROIC - 10-year]:[ROIC - 1-year]])&gt;=0.08,"CHECK",FALSE))</f>
        <v>0</v>
      </c>
      <c r="L21" s="11">
        <v>5.3100000000000001E-2</v>
      </c>
      <c r="M21" s="11">
        <v>1.8499999999999999E-2</v>
      </c>
      <c r="N21" s="11">
        <v>6.1999999999999998E-3</v>
      </c>
      <c r="O21" s="11">
        <v>2.1899999999999999E-2</v>
      </c>
      <c r="P21" s="13" t="b">
        <f>IF(MIN(Screener[[#This Row],[ROIC QuickFS - 10-year]:[ROIC QuickFS - 1-year]])&gt;=0.1,TRUE,IF(MIN(Screener[[#This Row],[ROIC QuickFS - 10-year]:[ROIC QuickFS - 1-year]])&gt;=0.08,"CHECK",FALSE))</f>
        <v>0</v>
      </c>
      <c r="Q21" s="11">
        <v>7.5600000000000001E-2</v>
      </c>
      <c r="R21" s="11">
        <v>1.4800000000000001E-2</v>
      </c>
      <c r="S21" s="11">
        <v>6.7999999999999996E-3</v>
      </c>
      <c r="T21" s="11">
        <v>1.2500000000000001E-2</v>
      </c>
      <c r="U21" s="13" t="b">
        <f>IF(MIN(Screener[[#This Row],[Equity - 10-year]:[Equity - 1-year]])&gt;=0.1,TRUE,IF(MIN(Screener[[#This Row],[Equity - 10-year]:[Equity - 1-year]])&gt;=0.08,"CHECK",FALSE))</f>
        <v>0</v>
      </c>
      <c r="V21" s="11">
        <v>3.9399999999999998E-2</v>
      </c>
      <c r="W21" s="11">
        <v>3.7600000000000001E-2</v>
      </c>
      <c r="X21" s="11">
        <v>3.9699999999999999E-2</v>
      </c>
      <c r="Y21" s="11">
        <v>-1.6299999999999999E-2</v>
      </c>
      <c r="Z21" s="13" t="b">
        <f>IF(MIN(Screener[[#This Row],[EPS - 10-year]:[EPS - 1-year]])&gt;=0.1,TRUE,IF(MIN(Screener[[#This Row],[EPS - 10-year]:[EPS - 1-year]])&gt;=0.08,"CHECK",FALSE))</f>
        <v>0</v>
      </c>
      <c r="AA21" s="11">
        <v>-9.7600000000000006E-2</v>
      </c>
      <c r="AB21" s="11">
        <v>-0.1181</v>
      </c>
      <c r="AC21" s="11">
        <v>1.5873999999999999</v>
      </c>
      <c r="AD21" s="11">
        <v>-0.2727</v>
      </c>
      <c r="AE21" s="13" t="b">
        <f>IF(MIN(Screener[[#This Row],[Sales - 10-year]:[Sales - 1-year]])&gt;=0.1,TRUE,IF(MIN(Screener[[#This Row],[Sales - 10-year]:[Sales - 1-year]])&gt;=0.08,"CHECK",FALSE))</f>
        <v>0</v>
      </c>
      <c r="AF21" s="11">
        <v>4.7199999999999999E-2</v>
      </c>
      <c r="AG21" s="11">
        <v>5.0000000000000001E-4</v>
      </c>
      <c r="AH21" s="11">
        <v>4.6600000000000003E-2</v>
      </c>
      <c r="AI21" s="11">
        <v>-3.5000000000000003E-2</v>
      </c>
      <c r="AJ21" s="13" t="b">
        <f>IF(MIN(Screener[[#This Row],[FCF - 10-year]:[FCF - 1-year]])&gt;=0.1,TRUE,IF(MIN(Screener[[#This Row],[FCF - 10-year]:[FCF - 1-year]])&gt;=0.08,"CHECK",FALSE))</f>
        <v>1</v>
      </c>
      <c r="AK21" s="11">
        <v>1.0692999999999999</v>
      </c>
      <c r="AL21" s="11">
        <v>1.1739999999999999</v>
      </c>
      <c r="AM21" s="11">
        <v>1.1121000000000001</v>
      </c>
      <c r="AN21" s="11">
        <v>3.3736999999999999</v>
      </c>
      <c r="AO21" s="12" t="b">
        <f>IF(MIN(Screener[[#This Row],[OCF - 10-year]:[OCF - 1-year]])&gt;=0.1,TRUE,IF(MIN(Screener[[#This Row],[OCF - 10-year]:[OCF - 1-year]])&gt;=0.08,"CHECK",FALSE))</f>
        <v>0</v>
      </c>
      <c r="AP21" s="11">
        <v>0.223</v>
      </c>
      <c r="AQ21" s="11">
        <v>8.1900000000000001E-2</v>
      </c>
      <c r="AR21" s="11">
        <v>0.35670000000000002</v>
      </c>
      <c r="AS21" s="11">
        <v>5.8299999999999998E-2</v>
      </c>
    </row>
    <row r="22" spans="1:45" ht="16.5" thickBot="1" x14ac:dyDescent="0.3">
      <c r="A22" s="6" t="s">
        <v>139</v>
      </c>
      <c r="B22" s="10" t="s">
        <v>238</v>
      </c>
      <c r="C22" s="6" t="s">
        <v>185</v>
      </c>
      <c r="D22" s="6" t="s">
        <v>99</v>
      </c>
      <c r="E22" s="6" t="s">
        <v>186</v>
      </c>
      <c r="F22" s="6" t="s">
        <v>97</v>
      </c>
      <c r="G22" s="6" t="s">
        <v>96</v>
      </c>
      <c r="H22" s="6" t="s">
        <v>98</v>
      </c>
      <c r="I22" s="13" t="b">
        <f>IF(COUNTIF(Screener[[#This Row],[Debt - Payoff Possible]:[OCF - 1-year]],TRUE)&gt;=7,TRUE,IF(COUNTIF(Screener[[#This Row],[Debt - Payoff Possible]:[OCF - 1-year]],FALSE)&lt;=3,"CHECK",FALSE))</f>
        <v>0</v>
      </c>
      <c r="J22" s="14" t="b">
        <v>1</v>
      </c>
      <c r="K22" s="13" t="b">
        <f>IF(MIN(Screener[[#This Row],[ROIC - 10-year]:[ROIC - 1-year]])&gt;=0.1,TRUE,IF(MIN(Screener[[#This Row],[ROIC - 10-year]:[ROIC - 1-year]])&gt;=0.08,"CHECK",FALSE))</f>
        <v>1</v>
      </c>
      <c r="L22" s="11">
        <v>0.1205</v>
      </c>
      <c r="M22" s="11">
        <v>0.1265</v>
      </c>
      <c r="N22" s="11">
        <v>0.13880000000000001</v>
      </c>
      <c r="O22" s="11">
        <v>0.21560000000000001</v>
      </c>
      <c r="P22" s="13" t="b">
        <f>IF(MIN(Screener[[#This Row],[ROIC QuickFS - 10-year]:[ROIC QuickFS - 1-year]])&gt;=0.1,TRUE,IF(MIN(Screener[[#This Row],[ROIC QuickFS - 10-year]:[ROIC QuickFS - 1-year]])&gt;=0.08,"CHECK",FALSE))</f>
        <v>1</v>
      </c>
      <c r="Q22" s="11">
        <v>0.1371</v>
      </c>
      <c r="R22" s="11">
        <v>0.14399999999999999</v>
      </c>
      <c r="S22" s="11">
        <v>0.159</v>
      </c>
      <c r="T22" s="11">
        <v>0.25719999999999998</v>
      </c>
      <c r="U22" s="13" t="b">
        <f>IF(MIN(Screener[[#This Row],[Equity - 10-year]:[Equity - 1-year]])&gt;=0.1,TRUE,IF(MIN(Screener[[#This Row],[Equity - 10-year]:[Equity - 1-year]])&gt;=0.08,"CHECK",FALSE))</f>
        <v>0</v>
      </c>
      <c r="V22" s="11">
        <v>1.6400000000000001E-2</v>
      </c>
      <c r="W22" s="11">
        <v>-5.1400000000000001E-2</v>
      </c>
      <c r="X22" s="11">
        <v>-0.12039999999999999</v>
      </c>
      <c r="Y22" s="11">
        <v>0.18240000000000001</v>
      </c>
      <c r="Z22" s="13" t="b">
        <f>IF(MIN(Screener[[#This Row],[EPS - 10-year]:[EPS - 1-year]])&gt;=0.1,TRUE,IF(MIN(Screener[[#This Row],[EPS - 10-year]:[EPS - 1-year]])&gt;=0.08,"CHECK",FALSE))</f>
        <v>0</v>
      </c>
      <c r="AA22" s="11">
        <v>7.0999999999999994E-2</v>
      </c>
      <c r="AB22" s="11">
        <v>8.5699999999999998E-2</v>
      </c>
      <c r="AC22" s="11">
        <v>0.1159</v>
      </c>
      <c r="AD22" s="11">
        <v>1.15E-2</v>
      </c>
      <c r="AE22" s="13" t="b">
        <f>IF(MIN(Screener[[#This Row],[Sales - 10-year]:[Sales - 1-year]])&gt;=0.1,TRUE,IF(MIN(Screener[[#This Row],[Sales - 10-year]:[Sales - 1-year]])&gt;=0.08,"CHECK",FALSE))</f>
        <v>0</v>
      </c>
      <c r="AF22" s="11">
        <v>2.1000000000000001E-2</v>
      </c>
      <c r="AG22" s="11">
        <v>5.9999999999999995E-4</v>
      </c>
      <c r="AH22" s="11">
        <v>8.8999999999999999E-3</v>
      </c>
      <c r="AI22" s="11">
        <v>-5.0200000000000002E-2</v>
      </c>
      <c r="AJ22" s="13" t="b">
        <f>IF(MIN(Screener[[#This Row],[FCF - 10-year]:[FCF - 1-year]])&gt;=0.1,TRUE,IF(MIN(Screener[[#This Row],[FCF - 10-year]:[FCF - 1-year]])&gt;=0.08,"CHECK",FALSE))</f>
        <v>0</v>
      </c>
      <c r="AK22" s="11">
        <v>4.9299999999999997E-2</v>
      </c>
      <c r="AL22" s="11">
        <v>5.5100000000000003E-2</v>
      </c>
      <c r="AM22" s="11">
        <v>4.7199999999999999E-2</v>
      </c>
      <c r="AN22" s="11">
        <v>-7.3000000000000001E-3</v>
      </c>
      <c r="AO22" s="12" t="b">
        <f>IF(MIN(Screener[[#This Row],[OCF - 10-year]:[OCF - 1-year]])&gt;=0.1,TRUE,IF(MIN(Screener[[#This Row],[OCF - 10-year]:[OCF - 1-year]])&gt;=0.08,"CHECK",FALSE))</f>
        <v>0</v>
      </c>
      <c r="AP22" s="11">
        <v>4.2500000000000003E-2</v>
      </c>
      <c r="AQ22" s="11">
        <v>4.2099999999999999E-2</v>
      </c>
      <c r="AR22" s="11">
        <v>3.5900000000000001E-2</v>
      </c>
      <c r="AS22" s="11">
        <v>-2.5600000000000001E-2</v>
      </c>
    </row>
    <row r="23" spans="1:45" ht="16.5" thickBot="1" x14ac:dyDescent="0.3">
      <c r="A23" s="6" t="s">
        <v>140</v>
      </c>
      <c r="B23" s="10" t="s">
        <v>238</v>
      </c>
      <c r="C23" s="6" t="s">
        <v>187</v>
      </c>
      <c r="D23" s="6" t="s">
        <v>99</v>
      </c>
      <c r="E23" s="6" t="s">
        <v>104</v>
      </c>
      <c r="F23" s="6" t="s">
        <v>188</v>
      </c>
      <c r="G23" s="6" t="s">
        <v>96</v>
      </c>
      <c r="H23" s="6" t="s">
        <v>171</v>
      </c>
      <c r="I23" s="13" t="b">
        <f>IF(COUNTIF(Screener[[#This Row],[Debt - Payoff Possible]:[OCF - 1-year]],TRUE)&gt;=7,TRUE,IF(COUNTIF(Screener[[#This Row],[Debt - Payoff Possible]:[OCF - 1-year]],FALSE)&lt;=3,"CHECK",FALSE))</f>
        <v>0</v>
      </c>
      <c r="J23" s="14" t="b">
        <v>1</v>
      </c>
      <c r="K23" s="13" t="b">
        <f>IF(MIN(Screener[[#This Row],[ROIC - 10-year]:[ROIC - 1-year]])&gt;=0.1,TRUE,IF(MIN(Screener[[#This Row],[ROIC - 10-year]:[ROIC - 1-year]])&gt;=0.08,"CHECK",FALSE))</f>
        <v>0</v>
      </c>
      <c r="L23" s="11">
        <v>6.4299999999999996E-2</v>
      </c>
      <c r="M23" s="11">
        <v>8.7999999999999995E-2</v>
      </c>
      <c r="N23" s="11">
        <v>7.8299999999999995E-2</v>
      </c>
      <c r="O23" s="11">
        <v>6.9599999999999995E-2</v>
      </c>
      <c r="P23" s="13" t="str">
        <f>IF(MIN(Screener[[#This Row],[ROIC QuickFS - 10-year]:[ROIC QuickFS - 1-year]])&gt;=0.1,TRUE,IF(MIN(Screener[[#This Row],[ROIC QuickFS - 10-year]:[ROIC QuickFS - 1-year]])&gt;=0.08,"CHECK",FALSE))</f>
        <v>CHECK</v>
      </c>
      <c r="Q23" s="11">
        <v>8.2000000000000003E-2</v>
      </c>
      <c r="R23" s="11">
        <v>0.1057</v>
      </c>
      <c r="S23" s="11">
        <v>9.5399999999999999E-2</v>
      </c>
      <c r="T23" s="11">
        <v>8.9099999999999999E-2</v>
      </c>
      <c r="U23" s="13" t="b">
        <f>IF(MIN(Screener[[#This Row],[Equity - 10-year]:[Equity - 1-year]])&gt;=0.1,TRUE,IF(MIN(Screener[[#This Row],[Equity - 10-year]:[Equity - 1-year]])&gt;=0.08,"CHECK",FALSE))</f>
        <v>0</v>
      </c>
      <c r="V23" s="11">
        <v>1.4200000000000001E-2</v>
      </c>
      <c r="W23" s="11">
        <v>4.02E-2</v>
      </c>
      <c r="X23" s="11">
        <v>4.7E-2</v>
      </c>
      <c r="Y23" s="11">
        <v>1.9699999999999999E-2</v>
      </c>
      <c r="Z23" s="13" t="b">
        <f>IF(MIN(Screener[[#This Row],[EPS - 10-year]:[EPS - 1-year]])&gt;=0.1,TRUE,IF(MIN(Screener[[#This Row],[EPS - 10-year]:[EPS - 1-year]])&gt;=0.08,"CHECK",FALSE))</f>
        <v>0</v>
      </c>
      <c r="AA23" s="11">
        <v>1.0608</v>
      </c>
      <c r="AB23" s="11">
        <v>-3.9600000000000003E-2</v>
      </c>
      <c r="AC23" s="11">
        <v>2.0199999999999999E-2</v>
      </c>
      <c r="AD23" s="11">
        <v>-0.154</v>
      </c>
      <c r="AE23" s="13" t="b">
        <f>IF(MIN(Screener[[#This Row],[Sales - 10-year]:[Sales - 1-year]])&gt;=0.1,TRUE,IF(MIN(Screener[[#This Row],[Sales - 10-year]:[Sales - 1-year]])&gt;=0.08,"CHECK",FALSE))</f>
        <v>0</v>
      </c>
      <c r="AF23" s="11">
        <v>-5.7599999999999998E-2</v>
      </c>
      <c r="AG23" s="11">
        <v>-1.49E-2</v>
      </c>
      <c r="AH23" s="11">
        <v>-2.86E-2</v>
      </c>
      <c r="AI23" s="11">
        <v>-2.8000000000000001E-2</v>
      </c>
      <c r="AJ23" s="13" t="b">
        <f>IF(MIN(Screener[[#This Row],[FCF - 10-year]:[FCF - 1-year]])&gt;=0.1,TRUE,IF(MIN(Screener[[#This Row],[FCF - 10-year]:[FCF - 1-year]])&gt;=0.08,"CHECK",FALSE))</f>
        <v>0</v>
      </c>
      <c r="AK23" s="11">
        <v>1.6561999999999999</v>
      </c>
      <c r="AL23" s="11">
        <v>3.7900000000000003E-2</v>
      </c>
      <c r="AM23" s="11">
        <v>3.2599999999999997E-2</v>
      </c>
      <c r="AN23" s="11">
        <v>1.1215999999999999</v>
      </c>
      <c r="AO23" s="12" t="b">
        <f>IF(MIN(Screener[[#This Row],[OCF - 10-year]:[OCF - 1-year]])&gt;=0.1,TRUE,IF(MIN(Screener[[#This Row],[OCF - 10-year]:[OCF - 1-year]])&gt;=0.08,"CHECK",FALSE))</f>
        <v>0</v>
      </c>
      <c r="AP23" s="11">
        <v>0.16919999999999999</v>
      </c>
      <c r="AQ23" s="11">
        <v>3.7400000000000003E-2</v>
      </c>
      <c r="AR23" s="11">
        <v>7.4700000000000003E-2</v>
      </c>
      <c r="AS23" s="11">
        <v>0.64500000000000002</v>
      </c>
    </row>
    <row r="24" spans="1:45" ht="16.5" thickBot="1" x14ac:dyDescent="0.3">
      <c r="A24" s="6" t="s">
        <v>141</v>
      </c>
      <c r="B24" s="10" t="s">
        <v>238</v>
      </c>
      <c r="C24" s="6" t="s">
        <v>189</v>
      </c>
      <c r="D24" s="6" t="s">
        <v>99</v>
      </c>
      <c r="E24" s="6" t="s">
        <v>174</v>
      </c>
      <c r="F24" s="6" t="s">
        <v>175</v>
      </c>
      <c r="G24" s="6" t="s">
        <v>96</v>
      </c>
      <c r="H24" s="6" t="s">
        <v>171</v>
      </c>
      <c r="I24" s="13" t="str">
        <f>IF(COUNTIF(Screener[[#This Row],[Debt - Payoff Possible]:[OCF - 1-year]],TRUE)&gt;=7,TRUE,IF(COUNTIF(Screener[[#This Row],[Debt - Payoff Possible]:[OCF - 1-year]],FALSE)&lt;=3,"CHECK",FALSE))</f>
        <v>CHECK</v>
      </c>
      <c r="J24" s="14" t="b">
        <v>0</v>
      </c>
      <c r="K24" s="13" t="b">
        <f>IF(MIN(Screener[[#This Row],[ROIC - 10-year]:[ROIC - 1-year]])&gt;=0.1,TRUE,IF(MIN(Screener[[#This Row],[ROIC - 10-year]:[ROIC - 1-year]])&gt;=0.08,"CHECK",FALSE))</f>
        <v>0</v>
      </c>
      <c r="L24" s="11">
        <v>0.10340000000000001</v>
      </c>
      <c r="M24" s="11">
        <v>9.1999999999999998E-2</v>
      </c>
      <c r="N24" s="11">
        <v>9.01E-2</v>
      </c>
      <c r="O24" s="11">
        <v>6.3500000000000001E-2</v>
      </c>
      <c r="P24" s="13" t="b">
        <f>IF(MIN(Screener[[#This Row],[ROIC QuickFS - 10-year]:[ROIC QuickFS - 1-year]])&gt;=0.1,TRUE,IF(MIN(Screener[[#This Row],[ROIC QuickFS - 10-year]:[ROIC QuickFS - 1-year]])&gt;=0.08,"CHECK",FALSE))</f>
        <v>1</v>
      </c>
      <c r="Q24" s="11">
        <v>0.20660000000000001</v>
      </c>
      <c r="R24" s="11">
        <v>0.1777</v>
      </c>
      <c r="S24" s="11">
        <v>0.17730000000000001</v>
      </c>
      <c r="T24" s="11">
        <v>0.1066</v>
      </c>
      <c r="U24" s="13" t="str">
        <f>IF(MIN(Screener[[#This Row],[Equity - 10-year]:[Equity - 1-year]])&gt;=0.1,TRUE,IF(MIN(Screener[[#This Row],[Equity - 10-year]:[Equity - 1-year]])&gt;=0.08,"CHECK",FALSE))</f>
        <v>CHECK</v>
      </c>
      <c r="V24" s="11">
        <v>9.5699999999999993E-2</v>
      </c>
      <c r="W24" s="11">
        <v>9.2200000000000004E-2</v>
      </c>
      <c r="X24" s="11">
        <v>0.1177</v>
      </c>
      <c r="Y24" s="11">
        <v>0.1008</v>
      </c>
      <c r="Z24" s="13" t="b">
        <f>IF(MIN(Screener[[#This Row],[EPS - 10-year]:[EPS - 1-year]])&gt;=0.1,TRUE,IF(MIN(Screener[[#This Row],[EPS - 10-year]:[EPS - 1-year]])&gt;=0.08,"CHECK",FALSE))</f>
        <v>0</v>
      </c>
      <c r="AA24" s="11">
        <v>9.6000000000000002E-2</v>
      </c>
      <c r="AB24" s="11">
        <v>0.1318</v>
      </c>
      <c r="AC24" s="11">
        <v>0.1242</v>
      </c>
      <c r="AD24" s="11">
        <v>4.8399999999999999E-2</v>
      </c>
      <c r="AE24" s="13" t="str">
        <f>IF(MIN(Screener[[#This Row],[Sales - 10-year]:[Sales - 1-year]])&gt;=0.1,TRUE,IF(MIN(Screener[[#This Row],[Sales - 10-year]:[Sales - 1-year]])&gt;=0.08,"CHECK",FALSE))</f>
        <v>CHECK</v>
      </c>
      <c r="AF24" s="11">
        <v>9.3600000000000003E-2</v>
      </c>
      <c r="AG24" s="11">
        <v>9.5600000000000004E-2</v>
      </c>
      <c r="AH24" s="11">
        <v>0.1147</v>
      </c>
      <c r="AI24" s="11">
        <v>0.12859999999999999</v>
      </c>
      <c r="AJ24" s="13" t="b">
        <f>IF(MIN(Screener[[#This Row],[FCF - 10-year]:[FCF - 1-year]])&gt;=0.1,TRUE,IF(MIN(Screener[[#This Row],[FCF - 10-year]:[FCF - 1-year]])&gt;=0.08,"CHECK",FALSE))</f>
        <v>1</v>
      </c>
      <c r="AK24" s="11">
        <v>0.1138</v>
      </c>
      <c r="AL24" s="11">
        <v>0.16639999999999999</v>
      </c>
      <c r="AM24" s="11">
        <v>0.26569999999999999</v>
      </c>
      <c r="AN24" s="11">
        <v>0.28589999999999999</v>
      </c>
      <c r="AO24" s="12" t="b">
        <f>IF(MIN(Screener[[#This Row],[OCF - 10-year]:[OCF - 1-year]])&gt;=0.1,TRUE,IF(MIN(Screener[[#This Row],[OCF - 10-year]:[OCF - 1-year]])&gt;=0.08,"CHECK",FALSE))</f>
        <v>1</v>
      </c>
      <c r="AP24" s="11">
        <v>0.1174</v>
      </c>
      <c r="AQ24" s="11">
        <v>0.1643</v>
      </c>
      <c r="AR24" s="11">
        <v>0.26190000000000002</v>
      </c>
      <c r="AS24" s="11">
        <v>0.28910000000000002</v>
      </c>
    </row>
    <row r="25" spans="1:45" ht="16.5" thickBot="1" x14ac:dyDescent="0.3">
      <c r="A25" s="6" t="s">
        <v>142</v>
      </c>
      <c r="B25" s="10" t="s">
        <v>238</v>
      </c>
      <c r="C25" s="6" t="s">
        <v>190</v>
      </c>
      <c r="D25" s="6" t="s">
        <v>99</v>
      </c>
      <c r="E25" s="6" t="s">
        <v>191</v>
      </c>
      <c r="F25" s="6" t="s">
        <v>97</v>
      </c>
      <c r="G25" s="6" t="s">
        <v>96</v>
      </c>
      <c r="H25" s="6" t="s">
        <v>108</v>
      </c>
      <c r="I25" s="13" t="b">
        <f>IF(COUNTIF(Screener[[#This Row],[Debt - Payoff Possible]:[OCF - 1-year]],TRUE)&gt;=7,TRUE,IF(COUNTIF(Screener[[#This Row],[Debt - Payoff Possible]:[OCF - 1-year]],FALSE)&lt;=3,"CHECK",FALSE))</f>
        <v>0</v>
      </c>
      <c r="J25" s="14" t="b">
        <v>0</v>
      </c>
      <c r="K25" s="13" t="b">
        <f>IF(MIN(Screener[[#This Row],[ROIC - 10-year]:[ROIC - 1-year]])&gt;=0.1,TRUE,IF(MIN(Screener[[#This Row],[ROIC - 10-year]:[ROIC - 1-year]])&gt;=0.08,"CHECK",FALSE))</f>
        <v>1</v>
      </c>
      <c r="L25" s="11">
        <v>10.810600000000001</v>
      </c>
      <c r="M25" s="11">
        <v>12.9727</v>
      </c>
      <c r="N25" s="11">
        <v>21.648800000000001</v>
      </c>
      <c r="O25" s="11">
        <v>64.9983</v>
      </c>
      <c r="P25" s="13" t="b">
        <f>IF(MIN(Screener[[#This Row],[ROIC QuickFS - 10-year]:[ROIC QuickFS - 1-year]])&gt;=0.1,TRUE,IF(MIN(Screener[[#This Row],[ROIC QuickFS - 10-year]:[ROIC QuickFS - 1-year]])&gt;=0.08,"CHECK",FALSE))</f>
        <v>0</v>
      </c>
      <c r="Q25" s="11">
        <v>-4.5999999999999999E-2</v>
      </c>
      <c r="R25" s="11">
        <v>-5.5199999999999999E-2</v>
      </c>
      <c r="S25" s="11">
        <v>1.4E-3</v>
      </c>
      <c r="T25" s="11">
        <v>9.0899999999999995E-2</v>
      </c>
      <c r="U25" s="13" t="b">
        <f>IF(MIN(Screener[[#This Row],[Equity - 10-year]:[Equity - 1-year]])&gt;=0.1,TRUE,IF(MIN(Screener[[#This Row],[Equity - 10-year]:[Equity - 1-year]])&gt;=0.08,"CHECK",FALSE))</f>
        <v>0</v>
      </c>
      <c r="V25" s="11"/>
      <c r="W25" s="11">
        <v>0</v>
      </c>
      <c r="X25" s="11">
        <v>-0.42699999999999999</v>
      </c>
      <c r="Y25" s="11">
        <v>13.265599999999999</v>
      </c>
      <c r="Z25" s="13" t="b">
        <f>IF(MIN(Screener[[#This Row],[EPS - 10-year]:[EPS - 1-year]])&gt;=0.1,TRUE,IF(MIN(Screener[[#This Row],[EPS - 10-year]:[EPS - 1-year]])&gt;=0.08,"CHECK",FALSE))</f>
        <v>1</v>
      </c>
      <c r="AA25" s="11"/>
      <c r="AB25" s="11">
        <v>1.3537999999999999</v>
      </c>
      <c r="AC25" s="11">
        <v>1.6777</v>
      </c>
      <c r="AD25" s="11">
        <v>2.8784999999999998</v>
      </c>
      <c r="AE25" s="13" t="b">
        <f>IF(MIN(Screener[[#This Row],[Sales - 10-year]:[Sales - 1-year]])&gt;=0.1,TRUE,IF(MIN(Screener[[#This Row],[Sales - 10-year]:[Sales - 1-year]])&gt;=0.08,"CHECK",FALSE))</f>
        <v>0</v>
      </c>
      <c r="AF25" s="11"/>
      <c r="AG25" s="11">
        <v>0.11219999999999999</v>
      </c>
      <c r="AH25" s="11">
        <v>0.14019999999999999</v>
      </c>
      <c r="AI25" s="11">
        <v>1.6899999999999998E-2</v>
      </c>
      <c r="AJ25" s="13" t="b">
        <f>IF(MIN(Screener[[#This Row],[FCF - 10-year]:[FCF - 1-year]])&gt;=0.1,TRUE,IF(MIN(Screener[[#This Row],[FCF - 10-year]:[FCF - 1-year]])&gt;=0.08,"CHECK",FALSE))</f>
        <v>1</v>
      </c>
      <c r="AK25" s="11"/>
      <c r="AL25" s="11">
        <v>0.26219999999999999</v>
      </c>
      <c r="AM25" s="11">
        <v>0.65359999999999996</v>
      </c>
      <c r="AN25" s="11">
        <v>0.22</v>
      </c>
      <c r="AO25" s="12" t="b">
        <f>IF(MIN(Screener[[#This Row],[OCF - 10-year]:[OCF - 1-year]])&gt;=0.1,TRUE,IF(MIN(Screener[[#This Row],[OCF - 10-year]:[OCF - 1-year]])&gt;=0.08,"CHECK",FALSE))</f>
        <v>1</v>
      </c>
      <c r="AP25" s="11"/>
      <c r="AQ25" s="11">
        <v>0.29499999999999998</v>
      </c>
      <c r="AR25" s="11">
        <v>0.57740000000000002</v>
      </c>
      <c r="AS25" s="11">
        <v>0.32900000000000001</v>
      </c>
    </row>
    <row r="26" spans="1:45" ht="16.5" thickBot="1" x14ac:dyDescent="0.3">
      <c r="A26" s="6" t="s">
        <v>143</v>
      </c>
      <c r="B26" s="10" t="s">
        <v>238</v>
      </c>
      <c r="C26" s="6" t="s">
        <v>192</v>
      </c>
      <c r="D26" s="6" t="s">
        <v>109</v>
      </c>
      <c r="E26" s="6" t="s">
        <v>110</v>
      </c>
      <c r="F26" s="6" t="s">
        <v>193</v>
      </c>
      <c r="G26" s="6" t="s">
        <v>96</v>
      </c>
      <c r="H26" s="6" t="s">
        <v>171</v>
      </c>
      <c r="I26" s="13" t="b">
        <f>IF(COUNTIF(Screener[[#This Row],[Debt - Payoff Possible]:[OCF - 1-year]],TRUE)&gt;=7,TRUE,IF(COUNTIF(Screener[[#This Row],[Debt - Payoff Possible]:[OCF - 1-year]],FALSE)&lt;=3,"CHECK",FALSE))</f>
        <v>0</v>
      </c>
      <c r="J26" s="14" t="b">
        <v>1</v>
      </c>
      <c r="K26" s="13" t="b">
        <f>IF(MIN(Screener[[#This Row],[ROIC - 10-year]:[ROIC - 1-year]])&gt;=0.1,TRUE,IF(MIN(Screener[[#This Row],[ROIC - 10-year]:[ROIC - 1-year]])&gt;=0.08,"CHECK",FALSE))</f>
        <v>0</v>
      </c>
      <c r="L26" s="11">
        <v>0.11210000000000001</v>
      </c>
      <c r="M26" s="11">
        <v>0.15809999999999999</v>
      </c>
      <c r="N26" s="11">
        <v>0.12470000000000001</v>
      </c>
      <c r="O26" s="11">
        <v>6.1699999999999998E-2</v>
      </c>
      <c r="P26" s="13" t="b">
        <f>IF(MIN(Screener[[#This Row],[ROIC QuickFS - 10-year]:[ROIC QuickFS - 1-year]])&gt;=0.1,TRUE,IF(MIN(Screener[[#This Row],[ROIC QuickFS - 10-year]:[ROIC QuickFS - 1-year]])&gt;=0.08,"CHECK",FALSE))</f>
        <v>0</v>
      </c>
      <c r="Q26" s="11">
        <v>0.1055</v>
      </c>
      <c r="R26" s="11">
        <v>0.1673</v>
      </c>
      <c r="S26" s="11">
        <v>0.1547</v>
      </c>
      <c r="T26" s="11">
        <v>7.1999999999999995E-2</v>
      </c>
      <c r="U26" s="13" t="b">
        <f>IF(MIN(Screener[[#This Row],[Equity - 10-year]:[Equity - 1-year]])&gt;=0.1,TRUE,IF(MIN(Screener[[#This Row],[Equity - 10-year]:[Equity - 1-year]])&gt;=0.08,"CHECK",FALSE))</f>
        <v>0</v>
      </c>
      <c r="V26" s="11">
        <v>2.01E-2</v>
      </c>
      <c r="W26" s="11">
        <v>0.17330000000000001</v>
      </c>
      <c r="X26" s="11">
        <v>0.16600000000000001</v>
      </c>
      <c r="Y26" s="11">
        <v>3.9399999999999998E-2</v>
      </c>
      <c r="Z26" s="13" t="b">
        <f>IF(MIN(Screener[[#This Row],[EPS - 10-year]:[EPS - 1-year]])&gt;=0.1,TRUE,IF(MIN(Screener[[#This Row],[EPS - 10-year]:[EPS - 1-year]])&gt;=0.08,"CHECK",FALSE))</f>
        <v>0</v>
      </c>
      <c r="AA26" s="11">
        <v>1.2468999999999999</v>
      </c>
      <c r="AB26" s="11">
        <v>0.82440000000000002</v>
      </c>
      <c r="AC26" s="11">
        <v>-0.10970000000000001</v>
      </c>
      <c r="AD26" s="11">
        <v>-0.45679999999999998</v>
      </c>
      <c r="AE26" s="13" t="b">
        <f>IF(MIN(Screener[[#This Row],[Sales - 10-year]:[Sales - 1-year]])&gt;=0.1,TRUE,IF(MIN(Screener[[#This Row],[Sales - 10-year]:[Sales - 1-year]])&gt;=0.08,"CHECK",FALSE))</f>
        <v>0</v>
      </c>
      <c r="AF26" s="11">
        <v>2.2200000000000001E-2</v>
      </c>
      <c r="AG26" s="11">
        <v>1.8100000000000002E-2</v>
      </c>
      <c r="AH26" s="11">
        <v>6.6100000000000006E-2</v>
      </c>
      <c r="AI26" s="11">
        <v>8.9999999999999998E-4</v>
      </c>
      <c r="AJ26" s="13" t="b">
        <f>IF(MIN(Screener[[#This Row],[FCF - 10-year]:[FCF - 1-year]])&gt;=0.1,TRUE,IF(MIN(Screener[[#This Row],[FCF - 10-year]:[FCF - 1-year]])&gt;=0.08,"CHECK",FALSE))</f>
        <v>0</v>
      </c>
      <c r="AK26" s="11">
        <v>1.2501</v>
      </c>
      <c r="AL26" s="11">
        <v>0.12770000000000001</v>
      </c>
      <c r="AM26" s="11">
        <v>0.10299999999999999</v>
      </c>
      <c r="AN26" s="11">
        <v>-2.8999999999999998E-3</v>
      </c>
      <c r="AO26" s="12" t="b">
        <f>IF(MIN(Screener[[#This Row],[OCF - 10-year]:[OCF - 1-year]])&gt;=0.1,TRUE,IF(MIN(Screener[[#This Row],[OCF - 10-year]:[OCF - 1-year]])&gt;=0.08,"CHECK",FALSE))</f>
        <v>0</v>
      </c>
      <c r="AP26" s="11">
        <v>4.4299999999999999E-2</v>
      </c>
      <c r="AQ26" s="11">
        <v>0.1293</v>
      </c>
      <c r="AR26" s="11">
        <v>9.3600000000000003E-2</v>
      </c>
      <c r="AS26" s="11">
        <v>-4.2099999999999999E-2</v>
      </c>
    </row>
    <row r="27" spans="1:45" ht="16.5" thickBot="1" x14ac:dyDescent="0.3">
      <c r="A27" s="6" t="s">
        <v>144</v>
      </c>
      <c r="B27" s="10" t="s">
        <v>238</v>
      </c>
      <c r="C27" s="6" t="s">
        <v>194</v>
      </c>
      <c r="D27" s="6" t="s">
        <v>102</v>
      </c>
      <c r="E27" s="6" t="s">
        <v>178</v>
      </c>
      <c r="F27" s="6" t="s">
        <v>97</v>
      </c>
      <c r="G27" s="6" t="s">
        <v>96</v>
      </c>
      <c r="H27" s="6" t="s">
        <v>98</v>
      </c>
      <c r="I27" s="13" t="b">
        <f>IF(COUNTIF(Screener[[#This Row],[Debt - Payoff Possible]:[OCF - 1-year]],TRUE)&gt;=7,TRUE,IF(COUNTIF(Screener[[#This Row],[Debt - Payoff Possible]:[OCF - 1-year]],FALSE)&lt;=3,"CHECK",FALSE))</f>
        <v>0</v>
      </c>
      <c r="J27" s="14" t="b">
        <v>1</v>
      </c>
      <c r="K27" s="13" t="b">
        <f>IF(MIN(Screener[[#This Row],[ROIC - 10-year]:[ROIC - 1-year]])&gt;=0.1,TRUE,IF(MIN(Screener[[#This Row],[ROIC - 10-year]:[ROIC - 1-year]])&gt;=0.08,"CHECK",FALSE))</f>
        <v>0</v>
      </c>
      <c r="L27" s="11">
        <v>8.1299999999999997E-2</v>
      </c>
      <c r="M27" s="11">
        <v>0.1323</v>
      </c>
      <c r="N27" s="11">
        <v>0.111</v>
      </c>
      <c r="O27" s="11">
        <v>-2.5999999999999999E-3</v>
      </c>
      <c r="P27" s="13" t="b">
        <f>IF(MIN(Screener[[#This Row],[ROIC QuickFS - 10-year]:[ROIC QuickFS - 1-year]])&gt;=0.1,TRUE,IF(MIN(Screener[[#This Row],[ROIC QuickFS - 10-year]:[ROIC QuickFS - 1-year]])&gt;=0.08,"CHECK",FALSE))</f>
        <v>1</v>
      </c>
      <c r="Q27" s="11">
        <v>0.37780000000000002</v>
      </c>
      <c r="R27" s="11">
        <v>0.65210000000000001</v>
      </c>
      <c r="S27" s="11">
        <v>0.73409999999999997</v>
      </c>
      <c r="T27" s="11">
        <v>0.96379999999999999</v>
      </c>
      <c r="U27" s="13" t="b">
        <f>IF(MIN(Screener[[#This Row],[Equity - 10-year]:[Equity - 1-year]])&gt;=0.1,TRUE,IF(MIN(Screener[[#This Row],[Equity - 10-year]:[Equity - 1-year]])&gt;=0.08,"CHECK",FALSE))</f>
        <v>1</v>
      </c>
      <c r="V27" s="11">
        <v>0.1166</v>
      </c>
      <c r="W27" s="11">
        <v>0.22040000000000001</v>
      </c>
      <c r="X27" s="11">
        <v>0.25059999999999999</v>
      </c>
      <c r="Y27" s="11">
        <v>0.45169999999999999</v>
      </c>
      <c r="Z27" s="13" t="b">
        <f>IF(MIN(Screener[[#This Row],[EPS - 10-year]:[EPS - 1-year]])&gt;=0.1,TRUE,IF(MIN(Screener[[#This Row],[EPS - 10-year]:[EPS - 1-year]])&gt;=0.08,"CHECK",FALSE))</f>
        <v>1</v>
      </c>
      <c r="AA27" s="11">
        <v>1.1953</v>
      </c>
      <c r="AB27" s="11">
        <v>0.308</v>
      </c>
      <c r="AC27" s="11">
        <v>0.49540000000000001</v>
      </c>
      <c r="AD27" s="11">
        <v>2.0931000000000002</v>
      </c>
      <c r="AE27" s="13" t="b">
        <f>IF(MIN(Screener[[#This Row],[Sales - 10-year]:[Sales - 1-year]])&gt;=0.1,TRUE,IF(MIN(Screener[[#This Row],[Sales - 10-year]:[Sales - 1-year]])&gt;=0.08,"CHECK",FALSE))</f>
        <v>0</v>
      </c>
      <c r="AF27" s="11">
        <v>4.24E-2</v>
      </c>
      <c r="AG27" s="11">
        <v>4.1700000000000001E-2</v>
      </c>
      <c r="AH27" s="11">
        <v>4.5499999999999999E-2</v>
      </c>
      <c r="AI27" s="11">
        <v>0.1186</v>
      </c>
      <c r="AJ27" s="13" t="b">
        <f>IF(MIN(Screener[[#This Row],[FCF - 10-year]:[FCF - 1-year]])&gt;=0.1,TRUE,IF(MIN(Screener[[#This Row],[FCF - 10-year]:[FCF - 1-year]])&gt;=0.08,"CHECK",FALSE))</f>
        <v>0</v>
      </c>
      <c r="AK27" s="11">
        <v>1.3588</v>
      </c>
      <c r="AL27" s="11">
        <v>0.11260000000000001</v>
      </c>
      <c r="AM27" s="11">
        <v>4.4299999999999999E-2</v>
      </c>
      <c r="AN27" s="11">
        <v>0.16039999999999999</v>
      </c>
      <c r="AO27" s="12" t="b">
        <f>IF(MIN(Screener[[#This Row],[OCF - 10-year]:[OCF - 1-year]])&gt;=0.1,TRUE,IF(MIN(Screener[[#This Row],[OCF - 10-year]:[OCF - 1-year]])&gt;=0.08,"CHECK",FALSE))</f>
        <v>0</v>
      </c>
      <c r="AP27" s="11">
        <v>0.2802</v>
      </c>
      <c r="AQ27" s="11">
        <v>0.1099</v>
      </c>
      <c r="AR27" s="11">
        <v>4.4299999999999999E-2</v>
      </c>
      <c r="AS27" s="11">
        <v>0.16159999999999999</v>
      </c>
    </row>
    <row r="28" spans="1:45" ht="16.5" thickBot="1" x14ac:dyDescent="0.3">
      <c r="A28" s="6" t="s">
        <v>145</v>
      </c>
      <c r="B28" s="10" t="s">
        <v>238</v>
      </c>
      <c r="C28" s="6" t="s">
        <v>195</v>
      </c>
      <c r="D28" s="6" t="s">
        <v>112</v>
      </c>
      <c r="E28" s="6" t="s">
        <v>113</v>
      </c>
      <c r="F28" s="6" t="s">
        <v>97</v>
      </c>
      <c r="G28" s="6" t="s">
        <v>96</v>
      </c>
      <c r="H28" s="6" t="s">
        <v>98</v>
      </c>
      <c r="I28" s="13" t="b">
        <f>IF(COUNTIF(Screener[[#This Row],[Debt - Payoff Possible]:[OCF - 1-year]],TRUE)&gt;=7,TRUE,IF(COUNTIF(Screener[[#This Row],[Debt - Payoff Possible]:[OCF - 1-year]],FALSE)&lt;=3,"CHECK",FALSE))</f>
        <v>0</v>
      </c>
      <c r="J28" s="14" t="b">
        <v>1</v>
      </c>
      <c r="K28" s="13" t="b">
        <f>IF(MIN(Screener[[#This Row],[ROIC - 10-year]:[ROIC - 1-year]])&gt;=0.1,TRUE,IF(MIN(Screener[[#This Row],[ROIC - 10-year]:[ROIC - 1-year]])&gt;=0.08,"CHECK",FALSE))</f>
        <v>0</v>
      </c>
      <c r="L28" s="11">
        <v>7.2599999999999998E-2</v>
      </c>
      <c r="M28" s="11">
        <v>7.7700000000000005E-2</v>
      </c>
      <c r="N28" s="11">
        <v>8.4900000000000003E-2</v>
      </c>
      <c r="O28" s="11">
        <v>0.17730000000000001</v>
      </c>
      <c r="P28" s="13" t="str">
        <f>IF(MIN(Screener[[#This Row],[ROIC QuickFS - 10-year]:[ROIC QuickFS - 1-year]])&gt;=0.1,TRUE,IF(MIN(Screener[[#This Row],[ROIC QuickFS - 10-year]:[ROIC QuickFS - 1-year]])&gt;=0.08,"CHECK",FALSE))</f>
        <v>CHECK</v>
      </c>
      <c r="Q28" s="11">
        <v>0.15629999999999999</v>
      </c>
      <c r="R28" s="11">
        <v>0.17230000000000001</v>
      </c>
      <c r="S28" s="11">
        <v>8.8200000000000001E-2</v>
      </c>
      <c r="T28" s="11">
        <v>0.1522</v>
      </c>
      <c r="U28" s="13" t="b">
        <f>IF(MIN(Screener[[#This Row],[Equity - 10-year]:[Equity - 1-year]])&gt;=0.1,TRUE,IF(MIN(Screener[[#This Row],[Equity - 10-year]:[Equity - 1-year]])&gt;=0.08,"CHECK",FALSE))</f>
        <v>0</v>
      </c>
      <c r="V28" s="11">
        <v>-0.1084</v>
      </c>
      <c r="W28" s="11">
        <v>-0.2676</v>
      </c>
      <c r="X28" s="11">
        <v>-0.28599999999999998</v>
      </c>
      <c r="Y28" s="11">
        <v>-0.47099999999999997</v>
      </c>
      <c r="Z28" s="13" t="b">
        <f>IF(MIN(Screener[[#This Row],[EPS - 10-year]:[EPS - 1-year]])&gt;=0.1,TRUE,IF(MIN(Screener[[#This Row],[EPS - 10-year]:[EPS - 1-year]])&gt;=0.08,"CHECK",FALSE))</f>
        <v>0</v>
      </c>
      <c r="AA28" s="11">
        <v>1.34E-2</v>
      </c>
      <c r="AB28" s="11">
        <v>1.2060999999999999</v>
      </c>
      <c r="AC28" s="11">
        <v>-0.30959999999999999</v>
      </c>
      <c r="AD28" s="11">
        <v>-0.1804</v>
      </c>
      <c r="AE28" s="13" t="b">
        <f>IF(MIN(Screener[[#This Row],[Sales - 10-year]:[Sales - 1-year]])&gt;=0.1,TRUE,IF(MIN(Screener[[#This Row],[Sales - 10-year]:[Sales - 1-year]])&gt;=0.08,"CHECK",FALSE))</f>
        <v>0</v>
      </c>
      <c r="AF28" s="11">
        <v>2.1499999999999998E-2</v>
      </c>
      <c r="AG28" s="11">
        <v>4.2000000000000003E-2</v>
      </c>
      <c r="AH28" s="11">
        <v>5.1200000000000002E-2</v>
      </c>
      <c r="AI28" s="11">
        <v>5.0000000000000001E-3</v>
      </c>
      <c r="AJ28" s="13" t="b">
        <f>IF(MIN(Screener[[#This Row],[FCF - 10-year]:[FCF - 1-year]])&gt;=0.1,TRUE,IF(MIN(Screener[[#This Row],[FCF - 10-year]:[FCF - 1-year]])&gt;=0.08,"CHECK",FALSE))</f>
        <v>0</v>
      </c>
      <c r="AK28" s="11">
        <v>8.9999999999999993E-3</v>
      </c>
      <c r="AL28" s="11">
        <v>-0.12720000000000001</v>
      </c>
      <c r="AM28" s="11">
        <v>5.1799999999999999E-2</v>
      </c>
      <c r="AN28" s="11">
        <v>0.27550000000000002</v>
      </c>
      <c r="AO28" s="12" t="b">
        <f>IF(MIN(Screener[[#This Row],[OCF - 10-year]:[OCF - 1-year]])&gt;=0.1,TRUE,IF(MIN(Screener[[#This Row],[OCF - 10-year]:[OCF - 1-year]])&gt;=0.08,"CHECK",FALSE))</f>
        <v>0</v>
      </c>
      <c r="AP28" s="11">
        <v>6.8999999999999999E-3</v>
      </c>
      <c r="AQ28" s="11">
        <v>-0.1132</v>
      </c>
      <c r="AR28" s="11">
        <v>3.2899999999999999E-2</v>
      </c>
      <c r="AS28" s="11">
        <v>0.1716</v>
      </c>
    </row>
    <row r="29" spans="1:45" ht="16.5" thickBot="1" x14ac:dyDescent="0.3">
      <c r="A29" s="6" t="s">
        <v>146</v>
      </c>
      <c r="B29" s="10" t="s">
        <v>238</v>
      </c>
      <c r="C29" s="6" t="s">
        <v>196</v>
      </c>
      <c r="D29" s="6" t="s">
        <v>109</v>
      </c>
      <c r="E29" s="6" t="s">
        <v>115</v>
      </c>
      <c r="F29" s="6" t="s">
        <v>180</v>
      </c>
      <c r="G29" s="6" t="s">
        <v>96</v>
      </c>
      <c r="H29" s="6" t="s">
        <v>108</v>
      </c>
      <c r="I29" s="13" t="b">
        <f>IF(COUNTIF(Screener[[#This Row],[Debt - Payoff Possible]:[OCF - 1-year]],TRUE)&gt;=7,TRUE,IF(COUNTIF(Screener[[#This Row],[Debt - Payoff Possible]:[OCF - 1-year]],FALSE)&lt;=3,"CHECK",FALSE))</f>
        <v>0</v>
      </c>
      <c r="J29" s="14" t="b">
        <v>1</v>
      </c>
      <c r="K29" s="13" t="b">
        <f>IF(MIN(Screener[[#This Row],[ROIC - 10-year]:[ROIC - 1-year]])&gt;=0.1,TRUE,IF(MIN(Screener[[#This Row],[ROIC - 10-year]:[ROIC - 1-year]])&gt;=0.08,"CHECK",FALSE))</f>
        <v>0</v>
      </c>
      <c r="L29" s="11">
        <v>2.2100000000000002E-2</v>
      </c>
      <c r="M29" s="11">
        <v>-9.2999999999999992E-3</v>
      </c>
      <c r="N29" s="11">
        <v>-3.5799999999999998E-2</v>
      </c>
      <c r="O29" s="11">
        <v>-5.3800000000000001E-2</v>
      </c>
      <c r="P29" s="13" t="b">
        <f>IF(MIN(Screener[[#This Row],[ROIC QuickFS - 10-year]:[ROIC QuickFS - 1-year]])&gt;=0.1,TRUE,IF(MIN(Screener[[#This Row],[ROIC QuickFS - 10-year]:[ROIC QuickFS - 1-year]])&gt;=0.08,"CHECK",FALSE))</f>
        <v>0</v>
      </c>
      <c r="Q29" s="11">
        <v>3.32E-2</v>
      </c>
      <c r="R29" s="11">
        <v>-2.7000000000000001E-3</v>
      </c>
      <c r="S29" s="11">
        <v>-1.8200000000000001E-2</v>
      </c>
      <c r="T29" s="11">
        <v>-6.6100000000000006E-2</v>
      </c>
      <c r="U29" s="13" t="b">
        <f>IF(MIN(Screener[[#This Row],[Equity - 10-year]:[Equity - 1-year]])&gt;=0.1,TRUE,IF(MIN(Screener[[#This Row],[Equity - 10-year]:[Equity - 1-year]])&gt;=0.08,"CHECK",FALSE))</f>
        <v>0</v>
      </c>
      <c r="V29" s="11">
        <v>2.12E-2</v>
      </c>
      <c r="W29" s="11">
        <v>-1.29E-2</v>
      </c>
      <c r="X29" s="11">
        <v>-2.7400000000000001E-2</v>
      </c>
      <c r="Y29" s="11">
        <v>-8.48E-2</v>
      </c>
      <c r="Z29" s="13" t="b">
        <f>IF(MIN(Screener[[#This Row],[EPS - 10-year]:[EPS - 1-year]])&gt;=0.1,TRUE,IF(MIN(Screener[[#This Row],[EPS - 10-year]:[EPS - 1-year]])&gt;=0.08,"CHECK",FALSE))</f>
        <v>0</v>
      </c>
      <c r="AA29" s="11">
        <v>-0.1167</v>
      </c>
      <c r="AB29" s="11">
        <v>-0.1988</v>
      </c>
      <c r="AC29" s="11">
        <v>-0.2676</v>
      </c>
      <c r="AD29" s="11">
        <v>-0.83330000000000004</v>
      </c>
      <c r="AE29" s="13" t="b">
        <f>IF(MIN(Screener[[#This Row],[Sales - 10-year]:[Sales - 1-year]])&gt;=0.1,TRUE,IF(MIN(Screener[[#This Row],[Sales - 10-year]:[Sales - 1-year]])&gt;=0.08,"CHECK",FALSE))</f>
        <v>0</v>
      </c>
      <c r="AF29" s="11">
        <v>-7.1499999999999994E-2</v>
      </c>
      <c r="AG29" s="11">
        <v>-0.1608</v>
      </c>
      <c r="AH29" s="11">
        <v>-0.24990000000000001</v>
      </c>
      <c r="AI29" s="11">
        <v>0.23050000000000001</v>
      </c>
      <c r="AJ29" s="13" t="b">
        <f>IF(MIN(Screener[[#This Row],[FCF - 10-year]:[FCF - 1-year]])&gt;=0.1,TRUE,IF(MIN(Screener[[#This Row],[FCF - 10-year]:[FCF - 1-year]])&gt;=0.08,"CHECK",FALSE))</f>
        <v>0</v>
      </c>
      <c r="AK29" s="11">
        <v>1.1745000000000001</v>
      </c>
      <c r="AL29" s="11">
        <v>0.25140000000000001</v>
      </c>
      <c r="AM29" s="11">
        <v>1.3661000000000001</v>
      </c>
      <c r="AN29" s="11">
        <v>-0.36080000000000001</v>
      </c>
      <c r="AO29" s="12" t="b">
        <f>IF(MIN(Screener[[#This Row],[OCF - 10-year]:[OCF - 1-year]])&gt;=0.1,TRUE,IF(MIN(Screener[[#This Row],[OCF - 10-year]:[OCF - 1-year]])&gt;=0.08,"CHECK",FALSE))</f>
        <v>0</v>
      </c>
      <c r="AP29" s="11">
        <v>0.73580000000000001</v>
      </c>
      <c r="AQ29" s="11">
        <v>0.1313</v>
      </c>
      <c r="AR29" s="11">
        <v>5.1478999999999999</v>
      </c>
      <c r="AS29" s="11">
        <v>-0.193</v>
      </c>
    </row>
    <row r="30" spans="1:45" ht="16.5" thickBot="1" x14ac:dyDescent="0.3">
      <c r="A30" s="6" t="s">
        <v>147</v>
      </c>
      <c r="B30" s="10" t="s">
        <v>238</v>
      </c>
      <c r="C30" s="6" t="s">
        <v>197</v>
      </c>
      <c r="D30" s="6" t="s">
        <v>109</v>
      </c>
      <c r="E30" s="6" t="s">
        <v>110</v>
      </c>
      <c r="F30" s="6" t="s">
        <v>198</v>
      </c>
      <c r="G30" s="6" t="s">
        <v>96</v>
      </c>
      <c r="H30" s="6" t="s">
        <v>171</v>
      </c>
      <c r="I30" s="13" t="b">
        <f>IF(COUNTIF(Screener[[#This Row],[Debt - Payoff Possible]:[OCF - 1-year]],TRUE)&gt;=7,TRUE,IF(COUNTIF(Screener[[#This Row],[Debt - Payoff Possible]:[OCF - 1-year]],FALSE)&lt;=3,"CHECK",FALSE))</f>
        <v>0</v>
      </c>
      <c r="J30" s="14" t="b">
        <v>1</v>
      </c>
      <c r="K30" s="13" t="b">
        <f>IF(MIN(Screener[[#This Row],[ROIC - 10-year]:[ROIC - 1-year]])&gt;=0.1,TRUE,IF(MIN(Screener[[#This Row],[ROIC - 10-year]:[ROIC - 1-year]])&gt;=0.08,"CHECK",FALSE))</f>
        <v>0</v>
      </c>
      <c r="L30" s="11">
        <v>9.5200000000000007E-2</v>
      </c>
      <c r="M30" s="11">
        <v>4.0800000000000003E-2</v>
      </c>
      <c r="N30" s="11">
        <v>-5.0000000000000001E-3</v>
      </c>
      <c r="O30" s="11">
        <v>-0.19339999999999999</v>
      </c>
      <c r="P30" s="13" t="b">
        <f>IF(MIN(Screener[[#This Row],[ROIC QuickFS - 10-year]:[ROIC QuickFS - 1-year]])&gt;=0.1,TRUE,IF(MIN(Screener[[#This Row],[ROIC QuickFS - 10-year]:[ROIC QuickFS - 1-year]])&gt;=0.08,"CHECK",FALSE))</f>
        <v>0</v>
      </c>
      <c r="Q30" s="11">
        <v>0.10970000000000001</v>
      </c>
      <c r="R30" s="11">
        <v>2.8000000000000001E-2</v>
      </c>
      <c r="S30" s="11">
        <v>-4.6199999999999998E-2</v>
      </c>
      <c r="T30" s="11">
        <v>-0.35580000000000001</v>
      </c>
      <c r="U30" s="13" t="b">
        <f>IF(MIN(Screener[[#This Row],[Equity - 10-year]:[Equity - 1-year]])&gt;=0.1,TRUE,IF(MIN(Screener[[#This Row],[Equity - 10-year]:[Equity - 1-year]])&gt;=0.08,"CHECK",FALSE))</f>
        <v>0</v>
      </c>
      <c r="V30" s="11">
        <v>1.1999999999999999E-3</v>
      </c>
      <c r="W30" s="11">
        <v>-7.2300000000000003E-2</v>
      </c>
      <c r="X30" s="11">
        <v>-0.14069999999999999</v>
      </c>
      <c r="Y30" s="11">
        <v>-0.3584</v>
      </c>
      <c r="Z30" s="13" t="b">
        <f>IF(MIN(Screener[[#This Row],[EPS - 10-year]:[EPS - 1-year]])&gt;=0.1,TRUE,IF(MIN(Screener[[#This Row],[EPS - 10-year]:[EPS - 1-year]])&gt;=0.08,"CHECK",FALSE))</f>
        <v>0</v>
      </c>
      <c r="AA30" s="11">
        <v>-7.3099999999999998E-2</v>
      </c>
      <c r="AB30" s="11">
        <v>-0.1749</v>
      </c>
      <c r="AC30" s="11">
        <v>-0.24210000000000001</v>
      </c>
      <c r="AD30" s="11">
        <v>-0.56799999999999995</v>
      </c>
      <c r="AE30" s="13" t="b">
        <f>IF(MIN(Screener[[#This Row],[Sales - 10-year]:[Sales - 1-year]])&gt;=0.1,TRUE,IF(MIN(Screener[[#This Row],[Sales - 10-year]:[Sales - 1-year]])&gt;=0.08,"CHECK",FALSE))</f>
        <v>0</v>
      </c>
      <c r="AF30" s="11">
        <v>-1.72E-2</v>
      </c>
      <c r="AG30" s="11">
        <v>-0.1152</v>
      </c>
      <c r="AH30" s="11">
        <v>-0.16639999999999999</v>
      </c>
      <c r="AI30" s="11">
        <v>-0.50680000000000003</v>
      </c>
      <c r="AJ30" s="13" t="b">
        <f>IF(MIN(Screener[[#This Row],[FCF - 10-year]:[FCF - 1-year]])&gt;=0.1,TRUE,IF(MIN(Screener[[#This Row],[FCF - 10-year]:[FCF - 1-year]])&gt;=0.08,"CHECK",FALSE))</f>
        <v>0</v>
      </c>
      <c r="AK30" s="11">
        <v>-0.1711</v>
      </c>
      <c r="AL30" s="11">
        <v>-0.1431</v>
      </c>
      <c r="AM30" s="11">
        <v>-0.23960000000000001</v>
      </c>
      <c r="AN30" s="11">
        <v>-9.4518000000000004</v>
      </c>
      <c r="AO30" s="12" t="b">
        <f>IF(MIN(Screener[[#This Row],[OCF - 10-year]:[OCF - 1-year]])&gt;=0.1,TRUE,IF(MIN(Screener[[#This Row],[OCF - 10-year]:[OCF - 1-year]])&gt;=0.08,"CHECK",FALSE))</f>
        <v>0</v>
      </c>
      <c r="AP30" s="11">
        <v>-0.09</v>
      </c>
      <c r="AQ30" s="11">
        <v>-0.19439999999999999</v>
      </c>
      <c r="AR30" s="11">
        <v>-0.2984</v>
      </c>
      <c r="AS30" s="11">
        <v>-0.66149999999999998</v>
      </c>
    </row>
    <row r="31" spans="1:45" ht="16.5" thickBot="1" x14ac:dyDescent="0.3">
      <c r="A31" s="6" t="s">
        <v>148</v>
      </c>
      <c r="B31" s="10" t="s">
        <v>238</v>
      </c>
      <c r="C31" s="6" t="s">
        <v>199</v>
      </c>
      <c r="D31" s="6" t="s">
        <v>102</v>
      </c>
      <c r="E31" s="6" t="s">
        <v>200</v>
      </c>
      <c r="F31" s="6" t="s">
        <v>97</v>
      </c>
      <c r="G31" s="6" t="s">
        <v>96</v>
      </c>
      <c r="H31" s="6" t="s">
        <v>108</v>
      </c>
      <c r="I31" s="13" t="b">
        <f>IF(COUNTIF(Screener[[#This Row],[Debt - Payoff Possible]:[OCF - 1-year]],TRUE)&gt;=7,TRUE,IF(COUNTIF(Screener[[#This Row],[Debt - Payoff Possible]:[OCF - 1-year]],FALSE)&lt;=3,"CHECK",FALSE))</f>
        <v>0</v>
      </c>
      <c r="J31" s="14" t="b">
        <v>0</v>
      </c>
      <c r="K31" s="13" t="b">
        <f>IF(MIN(Screener[[#This Row],[ROIC - 10-year]:[ROIC - 1-year]])&gt;=0.1,TRUE,IF(MIN(Screener[[#This Row],[ROIC - 10-year]:[ROIC - 1-year]])&gt;=0.08,"CHECK",FALSE))</f>
        <v>0</v>
      </c>
      <c r="L31" s="11">
        <v>-1.6706328589513659</v>
      </c>
      <c r="M31" s="11">
        <v>0.47636244014980722</v>
      </c>
      <c r="N31" s="11">
        <v>0.57445821242854755</v>
      </c>
      <c r="O31" s="11">
        <v>-0.124430120198449</v>
      </c>
      <c r="P31" s="13" t="b">
        <f>IF(MIN(Screener[[#This Row],[ROIC QuickFS - 10-year]:[ROIC QuickFS - 1-year]])&gt;=0.1,TRUE,IF(MIN(Screener[[#This Row],[ROIC QuickFS - 10-year]:[ROIC QuickFS - 1-year]])&gt;=0.08,"CHECK",FALSE))</f>
        <v>0</v>
      </c>
      <c r="Q31" s="11">
        <v>-4.6801777777777778</v>
      </c>
      <c r="R31" s="11">
        <v>0.50915999999999995</v>
      </c>
      <c r="S31" s="11">
        <v>-0.53683333333333338</v>
      </c>
      <c r="T31" s="11">
        <v>-0.1237</v>
      </c>
      <c r="U31" s="13" t="b">
        <f>IF(MIN(Screener[[#This Row],[Equity - 10-year]:[Equity - 1-year]])&gt;=0.1,TRUE,IF(MIN(Screener[[#This Row],[Equity - 10-year]:[Equity - 1-year]])&gt;=0.08,"CHECK",FALSE))</f>
        <v>0</v>
      </c>
      <c r="V31" s="11">
        <v>0</v>
      </c>
      <c r="W31" s="11">
        <v>0</v>
      </c>
      <c r="X31" s="11">
        <v>1.000230570852197</v>
      </c>
      <c r="Y31" s="11">
        <v>-0.80739438723492007</v>
      </c>
      <c r="Z31" s="13" t="b">
        <f>IF(MIN(Screener[[#This Row],[EPS - 10-year]:[EPS - 1-year]])&gt;=0.1,TRUE,IF(MIN(Screener[[#This Row],[EPS - 10-year]:[EPS - 1-year]])&gt;=0.08,"CHECK",FALSE))</f>
        <v>1</v>
      </c>
      <c r="AA31" s="11">
        <v>0.61342388868131859</v>
      </c>
      <c r="AB31" s="11">
        <v>0.83367546236868151</v>
      </c>
      <c r="AC31" s="11">
        <v>0.94393302418699243</v>
      </c>
      <c r="AD31" s="11">
        <v>0.33755274261603369</v>
      </c>
      <c r="AE31" s="13" t="b">
        <f>IF(MIN(Screener[[#This Row],[Sales - 10-year]:[Sales - 1-year]])&gt;=0.1,TRUE,IF(MIN(Screener[[#This Row],[Sales - 10-year]:[Sales - 1-year]])&gt;=0.08,"CHECK",FALSE))</f>
        <v>0</v>
      </c>
      <c r="AF31" s="11">
        <v>0</v>
      </c>
      <c r="AG31" s="11">
        <v>0.40145931988530797</v>
      </c>
      <c r="AH31" s="11">
        <v>4.6247873719352093</v>
      </c>
      <c r="AI31" s="11">
        <v>0</v>
      </c>
      <c r="AJ31" s="13" t="b">
        <f>IF(MIN(Screener[[#This Row],[FCF - 10-year]:[FCF - 1-year]])&gt;=0.1,TRUE,IF(MIN(Screener[[#This Row],[FCF - 10-year]:[FCF - 1-year]])&gt;=0.08,"CHECK",FALSE))</f>
        <v>1</v>
      </c>
      <c r="AK31" s="11">
        <v>1.345239660063992</v>
      </c>
      <c r="AL31" s="11">
        <v>1.366133612853256</v>
      </c>
      <c r="AM31" s="11">
        <v>1.529836822765231</v>
      </c>
      <c r="AN31" s="11">
        <v>1.4934982556295591</v>
      </c>
      <c r="AO31" s="12" t="b">
        <f>IF(MIN(Screener[[#This Row],[OCF - 10-year]:[OCF - 1-year]])&gt;=0.1,TRUE,IF(MIN(Screener[[#This Row],[OCF - 10-year]:[OCF - 1-year]])&gt;=0.08,"CHECK",FALSE))</f>
        <v>1</v>
      </c>
      <c r="AP31" s="11">
        <v>1.36663094006454</v>
      </c>
      <c r="AQ31" s="11">
        <v>1.390128495736529</v>
      </c>
      <c r="AR31" s="11">
        <v>1.5701019266820391</v>
      </c>
      <c r="AS31" s="11">
        <v>1.549000951474786</v>
      </c>
    </row>
    <row r="32" spans="1:45" ht="16.5" thickBot="1" x14ac:dyDescent="0.3">
      <c r="A32" s="6" t="s">
        <v>149</v>
      </c>
      <c r="B32" s="10" t="s">
        <v>238</v>
      </c>
      <c r="C32" s="6" t="s">
        <v>201</v>
      </c>
      <c r="D32" s="6" t="s">
        <v>112</v>
      </c>
      <c r="E32" s="6" t="s">
        <v>130</v>
      </c>
      <c r="F32" s="6" t="s">
        <v>97</v>
      </c>
      <c r="G32" s="6" t="s">
        <v>96</v>
      </c>
      <c r="H32" s="6" t="s">
        <v>108</v>
      </c>
      <c r="I32" s="13" t="b">
        <f>IF(COUNTIF(Screener[[#This Row],[Debt - Payoff Possible]:[OCF - 1-year]],TRUE)&gt;=7,TRUE,IF(COUNTIF(Screener[[#This Row],[Debt - Payoff Possible]:[OCF - 1-year]],FALSE)&lt;=3,"CHECK",FALSE))</f>
        <v>0</v>
      </c>
      <c r="J32" s="14" t="b">
        <v>0</v>
      </c>
      <c r="K32" s="13" t="b">
        <f>IF(MIN(Screener[[#This Row],[ROIC - 10-year]:[ROIC - 1-year]])&gt;=0.1,TRUE,IF(MIN(Screener[[#This Row],[ROIC - 10-year]:[ROIC - 1-year]])&gt;=0.08,"CHECK",FALSE))</f>
        <v>0</v>
      </c>
      <c r="L32" s="11">
        <v>3.2984926453965488E-2</v>
      </c>
      <c r="M32" s="11">
        <v>3.3036095472220167E-2</v>
      </c>
      <c r="N32" s="11">
        <v>2.1062369229711279E-2</v>
      </c>
      <c r="O32" s="11">
        <v>3.2918977754942763E-2</v>
      </c>
      <c r="P32" s="13" t="b">
        <f>IF(MIN(Screener[[#This Row],[ROIC QuickFS - 10-year]:[ROIC QuickFS - 1-year]])&gt;=0.1,TRUE,IF(MIN(Screener[[#This Row],[ROIC QuickFS - 10-year]:[ROIC QuickFS - 1-year]])&gt;=0.08,"CHECK",FALSE))</f>
        <v>0</v>
      </c>
      <c r="Q32" s="11">
        <v>0.12202</v>
      </c>
      <c r="R32" s="11">
        <v>6.0759999999999988E-2</v>
      </c>
      <c r="S32" s="11">
        <v>2.693333333333334E-2</v>
      </c>
      <c r="T32" s="11">
        <v>5.0500000000000003E-2</v>
      </c>
      <c r="U32" s="13" t="b">
        <f>IF(MIN(Screener[[#This Row],[Equity - 10-year]:[Equity - 1-year]])&gt;=0.1,TRUE,IF(MIN(Screener[[#This Row],[Equity - 10-year]:[Equity - 1-year]])&gt;=0.08,"CHECK",FALSE))</f>
        <v>0</v>
      </c>
      <c r="V32" s="11">
        <v>3.0114847782753081E-2</v>
      </c>
      <c r="W32" s="11">
        <v>8.3834500206002138E-2</v>
      </c>
      <c r="X32" s="11">
        <v>4.3913898652166328E-2</v>
      </c>
      <c r="Y32" s="11">
        <v>6.8364288390515338E-2</v>
      </c>
      <c r="Z32" s="13" t="b">
        <f>IF(MIN(Screener[[#This Row],[EPS - 10-year]:[EPS - 1-year]])&gt;=0.1,TRUE,IF(MIN(Screener[[#This Row],[EPS - 10-year]:[EPS - 1-year]])&gt;=0.08,"CHECK",FALSE))</f>
        <v>0</v>
      </c>
      <c r="AA32" s="11">
        <v>-0.27468411262120712</v>
      </c>
      <c r="AB32" s="11">
        <v>0.2269424680663952</v>
      </c>
      <c r="AC32" s="11">
        <v>-8.7419472922606656E-2</v>
      </c>
      <c r="AD32" s="11">
        <v>-0.17391304347826089</v>
      </c>
      <c r="AE32" s="13" t="b">
        <f>IF(MIN(Screener[[#This Row],[Sales - 10-year]:[Sales - 1-year]])&gt;=0.1,TRUE,IF(MIN(Screener[[#This Row],[Sales - 10-year]:[Sales - 1-year]])&gt;=0.08,"CHECK",FALSE))</f>
        <v>0</v>
      </c>
      <c r="AF32" s="11">
        <v>2.7539487663452041E-2</v>
      </c>
      <c r="AG32" s="11">
        <v>-2.5214939875324301E-2</v>
      </c>
      <c r="AH32" s="11">
        <v>-2.7440181212013189E-2</v>
      </c>
      <c r="AI32" s="11">
        <v>-6.6726057300627639E-2</v>
      </c>
      <c r="AJ32" s="13" t="b">
        <f>IF(MIN(Screener[[#This Row],[FCF - 10-year]:[FCF - 1-year]])&gt;=0.1,TRUE,IF(MIN(Screener[[#This Row],[FCF - 10-year]:[FCF - 1-year]])&gt;=0.08,"CHECK",FALSE))</f>
        <v>1</v>
      </c>
      <c r="AK32" s="11">
        <v>1.017735477620745</v>
      </c>
      <c r="AL32" s="11">
        <v>1.344844046311414</v>
      </c>
      <c r="AM32" s="11">
        <v>1.1437797576929321</v>
      </c>
      <c r="AN32" s="11">
        <v>5.9454253611556984</v>
      </c>
      <c r="AO32" s="12" t="b">
        <f>IF(MIN(Screener[[#This Row],[OCF - 10-year]:[OCF - 1-year]])&gt;=0.1,TRUE,IF(MIN(Screener[[#This Row],[OCF - 10-year]:[OCF - 1-year]])&gt;=0.08,"CHECK",FALSE))</f>
        <v>0</v>
      </c>
      <c r="AP32" s="11">
        <v>1.064670521037095</v>
      </c>
      <c r="AQ32" s="11">
        <v>8.3456649758025137E-2</v>
      </c>
      <c r="AR32" s="11">
        <v>-3.2904816929690162E-2</v>
      </c>
      <c r="AS32" s="11">
        <v>-1.5403775563712641E-2</v>
      </c>
    </row>
    <row r="33" spans="1:45" ht="16.5" thickBot="1" x14ac:dyDescent="0.3">
      <c r="A33" s="6" t="s">
        <v>150</v>
      </c>
      <c r="B33" s="10" t="s">
        <v>238</v>
      </c>
      <c r="C33" s="6" t="s">
        <v>202</v>
      </c>
      <c r="D33" s="6" t="s">
        <v>112</v>
      </c>
      <c r="E33" s="6" t="s">
        <v>203</v>
      </c>
      <c r="F33" s="6" t="s">
        <v>97</v>
      </c>
      <c r="G33" s="6" t="s">
        <v>96</v>
      </c>
      <c r="H33" s="6" t="s">
        <v>98</v>
      </c>
      <c r="I33" s="13" t="b">
        <f>IF(COUNTIF(Screener[[#This Row],[Debt - Payoff Possible]:[OCF - 1-year]],TRUE)&gt;=7,TRUE,IF(COUNTIF(Screener[[#This Row],[Debt - Payoff Possible]:[OCF - 1-year]],FALSE)&lt;=3,"CHECK",FALSE))</f>
        <v>0</v>
      </c>
      <c r="J33" s="14" t="b">
        <v>0</v>
      </c>
      <c r="K33" s="13" t="str">
        <f>IF(MIN(Screener[[#This Row],[ROIC - 10-year]:[ROIC - 1-year]])&gt;=0.1,TRUE,IF(MIN(Screener[[#This Row],[ROIC - 10-year]:[ROIC - 1-year]])&gt;=0.08,"CHECK",FALSE))</f>
        <v>CHECK</v>
      </c>
      <c r="L33" s="11">
        <v>0.13020000000000001</v>
      </c>
      <c r="M33" s="11">
        <v>0.1182</v>
      </c>
      <c r="N33" s="11">
        <v>9.01E-2</v>
      </c>
      <c r="O33" s="11">
        <v>8.1100000000000005E-2</v>
      </c>
      <c r="P33" s="13" t="b">
        <f>IF(MIN(Screener[[#This Row],[ROIC QuickFS - 10-year]:[ROIC QuickFS - 1-year]])&gt;=0.1,TRUE,IF(MIN(Screener[[#This Row],[ROIC QuickFS - 10-year]:[ROIC QuickFS - 1-year]])&gt;=0.08,"CHECK",FALSE))</f>
        <v>1</v>
      </c>
      <c r="Q33" s="11">
        <v>0.17119999999999999</v>
      </c>
      <c r="R33" s="11">
        <v>0.18490000000000001</v>
      </c>
      <c r="S33" s="11">
        <v>0.16689999999999999</v>
      </c>
      <c r="T33" s="11">
        <v>0.21959999999999999</v>
      </c>
      <c r="U33" s="13" t="str">
        <f>IF(MIN(Screener[[#This Row],[Equity - 10-year]:[Equity - 1-year]])&gt;=0.1,TRUE,IF(MIN(Screener[[#This Row],[Equity - 10-year]:[Equity - 1-year]])&gt;=0.08,"CHECK",FALSE))</f>
        <v>CHECK</v>
      </c>
      <c r="V33" s="11">
        <v>8.3699999999999997E-2</v>
      </c>
      <c r="W33" s="11">
        <v>0.15620000000000001</v>
      </c>
      <c r="X33" s="11">
        <v>0.16689999999999999</v>
      </c>
      <c r="Y33" s="11">
        <v>0.68600000000000005</v>
      </c>
      <c r="Z33" s="13" t="b">
        <f>IF(MIN(Screener[[#This Row],[EPS - 10-year]:[EPS - 1-year]])&gt;=0.1,TRUE,IF(MIN(Screener[[#This Row],[EPS - 10-year]:[EPS - 1-year]])&gt;=0.08,"CHECK",FALSE))</f>
        <v>0</v>
      </c>
      <c r="AA33" s="11">
        <v>5.0299999999999997E-2</v>
      </c>
      <c r="AB33" s="11">
        <v>4.82E-2</v>
      </c>
      <c r="AC33" s="11">
        <v>-2.2800000000000001E-2</v>
      </c>
      <c r="AD33" s="11">
        <v>1.3275999999999999</v>
      </c>
      <c r="AE33" s="13" t="b">
        <f>IF(MIN(Screener[[#This Row],[Sales - 10-year]:[Sales - 1-year]])&gt;=0.1,TRUE,IF(MIN(Screener[[#This Row],[Sales - 10-year]:[Sales - 1-year]])&gt;=0.08,"CHECK",FALSE))</f>
        <v>0</v>
      </c>
      <c r="AF33" s="11">
        <v>1.4999999999999999E-2</v>
      </c>
      <c r="AG33" s="11">
        <v>1.9900000000000001E-2</v>
      </c>
      <c r="AH33" s="11">
        <v>-2.0299999999999999E-2</v>
      </c>
      <c r="AI33" s="11">
        <v>3.0700000000000002E-2</v>
      </c>
      <c r="AJ33" s="13" t="b">
        <f>IF(MIN(Screener[[#This Row],[FCF - 10-year]:[FCF - 1-year]])&gt;=0.1,TRUE,IF(MIN(Screener[[#This Row],[FCF - 10-year]:[FCF - 1-year]])&gt;=0.08,"CHECK",FALSE))</f>
        <v>0</v>
      </c>
      <c r="AK33" s="11">
        <v>0.1239</v>
      </c>
      <c r="AL33" s="11">
        <v>8.7800000000000003E-2</v>
      </c>
      <c r="AM33" s="11">
        <v>-7.7899999999999997E-2</v>
      </c>
      <c r="AN33" s="11">
        <v>2.7400000000000001E-2</v>
      </c>
      <c r="AO33" s="12" t="b">
        <f>IF(MIN(Screener[[#This Row],[OCF - 10-year]:[OCF - 1-year]])&gt;=0.1,TRUE,IF(MIN(Screener[[#This Row],[OCF - 10-year]:[OCF - 1-year]])&gt;=0.08,"CHECK",FALSE))</f>
        <v>0</v>
      </c>
      <c r="AP33" s="11">
        <v>9.4100000000000003E-2</v>
      </c>
      <c r="AQ33" s="11">
        <v>7.5200000000000003E-2</v>
      </c>
      <c r="AR33" s="11">
        <v>-7.2099999999999997E-2</v>
      </c>
      <c r="AS33" s="11">
        <v>1.09E-2</v>
      </c>
    </row>
    <row r="34" spans="1:45" ht="16.5" thickBot="1" x14ac:dyDescent="0.3">
      <c r="A34" s="6" t="s">
        <v>151</v>
      </c>
      <c r="B34" s="10" t="s">
        <v>238</v>
      </c>
      <c r="C34" s="6" t="s">
        <v>204</v>
      </c>
      <c r="D34" s="6" t="s">
        <v>99</v>
      </c>
      <c r="E34" s="6" t="s">
        <v>191</v>
      </c>
      <c r="F34" s="6" t="s">
        <v>97</v>
      </c>
      <c r="G34" s="6" t="s">
        <v>96</v>
      </c>
      <c r="H34" s="6" t="s">
        <v>108</v>
      </c>
      <c r="I34" s="13" t="b">
        <f>IF(COUNTIF(Screener[[#This Row],[Debt - Payoff Possible]:[OCF - 1-year]],TRUE)&gt;=7,TRUE,IF(COUNTIF(Screener[[#This Row],[Debt - Payoff Possible]:[OCF - 1-year]],FALSE)&lt;=3,"CHECK",FALSE))</f>
        <v>0</v>
      </c>
      <c r="J34" s="14" t="b">
        <v>1</v>
      </c>
      <c r="K34" s="13" t="b">
        <f>IF(MIN(Screener[[#This Row],[ROIC - 10-year]:[ROIC - 1-year]])&gt;=0.1,TRUE,IF(MIN(Screener[[#This Row],[ROIC - 10-year]:[ROIC - 1-year]])&gt;=0.08,"CHECK",FALSE))</f>
        <v>1</v>
      </c>
      <c r="L34" s="11">
        <v>0.39140000000000003</v>
      </c>
      <c r="M34" s="11">
        <v>0.65880000000000005</v>
      </c>
      <c r="N34" s="11">
        <v>0.51400000000000001</v>
      </c>
      <c r="O34" s="11">
        <v>0.82240000000000002</v>
      </c>
      <c r="P34" s="13" t="b">
        <f>IF(MIN(Screener[[#This Row],[ROIC QuickFS - 10-year]:[ROIC QuickFS - 1-year]])&gt;=0.1,TRUE,IF(MIN(Screener[[#This Row],[ROIC QuickFS - 10-year]:[ROIC QuickFS - 1-year]])&gt;=0.08,"CHECK",FALSE))</f>
        <v>0</v>
      </c>
      <c r="Q34" s="11">
        <v>-3.0219</v>
      </c>
      <c r="R34" s="11">
        <v>-6.1031000000000004</v>
      </c>
      <c r="S34" s="11">
        <v>-9.9515999999999991</v>
      </c>
      <c r="T34" s="11">
        <v>-10.085100000000001</v>
      </c>
      <c r="U34" s="13" t="b">
        <f>IF(MIN(Screener[[#This Row],[Equity - 10-year]:[Equity - 1-year]])&gt;=0.1,TRUE,IF(MIN(Screener[[#This Row],[Equity - 10-year]:[Equity - 1-year]])&gt;=0.08,"CHECK",FALSE))</f>
        <v>0</v>
      </c>
      <c r="V34" s="11">
        <v>-0.22600000000000001</v>
      </c>
      <c r="W34" s="11">
        <v>-0.38929999999999998</v>
      </c>
      <c r="X34" s="11">
        <v>7.8100000000000003E-2</v>
      </c>
      <c r="Y34" s="11">
        <v>-1.0043</v>
      </c>
      <c r="Z34" s="13" t="b">
        <f>IF(MIN(Screener[[#This Row],[EPS - 10-year]:[EPS - 1-year]])&gt;=0.1,TRUE,IF(MIN(Screener[[#This Row],[EPS - 10-year]:[EPS - 1-year]])&gt;=0.08,"CHECK",FALSE))</f>
        <v>0</v>
      </c>
      <c r="AA34" s="11">
        <v>-5.9400000000000001E-2</v>
      </c>
      <c r="AB34" s="11">
        <v>-4.2099999999999999E-2</v>
      </c>
      <c r="AC34" s="11">
        <v>0.1056</v>
      </c>
      <c r="AD34" s="11">
        <v>-3.3799999999999997E-2</v>
      </c>
      <c r="AE34" s="13" t="b">
        <f>IF(MIN(Screener[[#This Row],[Sales - 10-year]:[Sales - 1-year]])&gt;=0.1,TRUE,IF(MIN(Screener[[#This Row],[Sales - 10-year]:[Sales - 1-year]])&gt;=0.08,"CHECK",FALSE))</f>
        <v>0</v>
      </c>
      <c r="AF34" s="11">
        <v>-7.6899999999999996E-2</v>
      </c>
      <c r="AG34" s="11">
        <v>1.9400000000000001E-2</v>
      </c>
      <c r="AH34" s="11">
        <v>2.8500000000000001E-2</v>
      </c>
      <c r="AI34" s="11">
        <v>-3.5999999999999997E-2</v>
      </c>
      <c r="AJ34" s="13" t="b">
        <f>IF(MIN(Screener[[#This Row],[FCF - 10-year]:[FCF - 1-year]])&gt;=0.1,TRUE,IF(MIN(Screener[[#This Row],[FCF - 10-year]:[FCF - 1-year]])&gt;=0.08,"CHECK",FALSE))</f>
        <v>0</v>
      </c>
      <c r="AK34" s="11">
        <v>-7.7700000000000005E-2</v>
      </c>
      <c r="AL34" s="11">
        <v>-5.7000000000000002E-3</v>
      </c>
      <c r="AM34" s="11">
        <v>3.7900000000000003E-2</v>
      </c>
      <c r="AN34" s="11">
        <v>-6.13E-2</v>
      </c>
      <c r="AO34" s="12" t="b">
        <f>IF(MIN(Screener[[#This Row],[OCF - 10-year]:[OCF - 1-year]])&gt;=0.1,TRUE,IF(MIN(Screener[[#This Row],[OCF - 10-year]:[OCF - 1-year]])&gt;=0.08,"CHECK",FALSE))</f>
        <v>0</v>
      </c>
      <c r="AP34" s="11">
        <v>-9.6600000000000005E-2</v>
      </c>
      <c r="AQ34" s="11">
        <v>-9.2899999999999996E-2</v>
      </c>
      <c r="AR34" s="11">
        <v>5.4899999999999997E-2</v>
      </c>
      <c r="AS34" s="11">
        <v>-7.2599999999999998E-2</v>
      </c>
    </row>
    <row r="35" spans="1:45" ht="16.5" thickBot="1" x14ac:dyDescent="0.3">
      <c r="A35" s="6" t="s">
        <v>152</v>
      </c>
      <c r="B35" s="10" t="s">
        <v>238</v>
      </c>
      <c r="C35" s="6" t="s">
        <v>205</v>
      </c>
      <c r="D35" s="6" t="s">
        <v>102</v>
      </c>
      <c r="E35" s="6" t="s">
        <v>103</v>
      </c>
      <c r="F35" s="6" t="s">
        <v>181</v>
      </c>
      <c r="G35" s="6" t="s">
        <v>96</v>
      </c>
      <c r="H35" s="6" t="s">
        <v>108</v>
      </c>
      <c r="I35" s="13" t="b">
        <f>IF(COUNTIF(Screener[[#This Row],[Debt - Payoff Possible]:[OCF - 1-year]],TRUE)&gt;=7,TRUE,IF(COUNTIF(Screener[[#This Row],[Debt - Payoff Possible]:[OCF - 1-year]],FALSE)&lt;=3,"CHECK",FALSE))</f>
        <v>0</v>
      </c>
      <c r="J35" s="14" t="b">
        <v>1</v>
      </c>
      <c r="K35" s="13" t="b">
        <f>IF(MIN(Screener[[#This Row],[ROIC - 10-year]:[ROIC - 1-year]])&gt;=0.1,TRUE,IF(MIN(Screener[[#This Row],[ROIC - 10-year]:[ROIC - 1-year]])&gt;=0.08,"CHECK",FALSE))</f>
        <v>0</v>
      </c>
      <c r="L35" s="11">
        <v>8.6099999999999996E-2</v>
      </c>
      <c r="M35" s="11">
        <v>7.4700000000000003E-2</v>
      </c>
      <c r="N35" s="11">
        <v>6.9099999999999995E-2</v>
      </c>
      <c r="O35" s="11">
        <v>9.1300000000000006E-2</v>
      </c>
      <c r="P35" s="13" t="b">
        <f>IF(MIN(Screener[[#This Row],[ROIC QuickFS - 10-year]:[ROIC QuickFS - 1-year]])&gt;=0.1,TRUE,IF(MIN(Screener[[#This Row],[ROIC QuickFS - 10-year]:[ROIC QuickFS - 1-year]])&gt;=0.08,"CHECK",FALSE))</f>
        <v>0</v>
      </c>
      <c r="Q35" s="11">
        <v>0.18149999999999999</v>
      </c>
      <c r="R35" s="11">
        <v>6.6900000000000001E-2</v>
      </c>
      <c r="S35" s="11">
        <v>3.9100000000000003E-2</v>
      </c>
      <c r="T35" s="11">
        <v>7.4300000000000005E-2</v>
      </c>
      <c r="U35" s="13" t="b">
        <f>IF(MIN(Screener[[#This Row],[Equity - 10-year]:[Equity - 1-year]])&gt;=0.1,TRUE,IF(MIN(Screener[[#This Row],[Equity - 10-year]:[Equity - 1-year]])&gt;=0.08,"CHECK",FALSE))</f>
        <v>0</v>
      </c>
      <c r="V35" s="11">
        <v>0.28789999999999999</v>
      </c>
      <c r="W35" s="11">
        <v>0.1356</v>
      </c>
      <c r="X35" s="11">
        <v>4.41E-2</v>
      </c>
      <c r="Y35" s="11">
        <v>0.1047</v>
      </c>
      <c r="Z35" s="13" t="b">
        <f>IF(MIN(Screener[[#This Row],[EPS - 10-year]:[EPS - 1-year]])&gt;=0.1,TRUE,IF(MIN(Screener[[#This Row],[EPS - 10-year]:[EPS - 1-year]])&gt;=0.08,"CHECK",FALSE))</f>
        <v>0</v>
      </c>
      <c r="AA35" s="11">
        <v>0.23780000000000001</v>
      </c>
      <c r="AB35" s="11">
        <v>6.3E-2</v>
      </c>
      <c r="AC35" s="11">
        <v>0.21859999999999999</v>
      </c>
      <c r="AD35" s="11">
        <v>1.1111</v>
      </c>
      <c r="AE35" s="13" t="b">
        <f>IF(MIN(Screener[[#This Row],[Sales - 10-year]:[Sales - 1-year]])&gt;=0.1,TRUE,IF(MIN(Screener[[#This Row],[Sales - 10-year]:[Sales - 1-year]])&gt;=0.08,"CHECK",FALSE))</f>
        <v>0</v>
      </c>
      <c r="AF35" s="11">
        <v>8.7400000000000005E-2</v>
      </c>
      <c r="AG35" s="11">
        <v>6.3700000000000007E-2</v>
      </c>
      <c r="AH35" s="11">
        <v>1.5900000000000001E-2</v>
      </c>
      <c r="AI35" s="11">
        <v>5.6800000000000003E-2</v>
      </c>
      <c r="AJ35" s="13" t="b">
        <f>IF(MIN(Screener[[#This Row],[FCF - 10-year]:[FCF - 1-year]])&gt;=0.1,TRUE,IF(MIN(Screener[[#This Row],[FCF - 10-year]:[FCF - 1-year]])&gt;=0.08,"CHECK",FALSE))</f>
        <v>0</v>
      </c>
      <c r="AK35" s="11">
        <v>0.20979999999999999</v>
      </c>
      <c r="AL35" s="11">
        <v>0.12130000000000001</v>
      </c>
      <c r="AM35" s="11">
        <v>9.8400000000000001E-2</v>
      </c>
      <c r="AN35" s="11">
        <v>-0.14130000000000001</v>
      </c>
      <c r="AO35" s="12" t="b">
        <f>IF(MIN(Screener[[#This Row],[OCF - 10-year]:[OCF - 1-year]])&gt;=0.1,TRUE,IF(MIN(Screener[[#This Row],[OCF - 10-year]:[OCF - 1-year]])&gt;=0.08,"CHECK",FALSE))</f>
        <v>0</v>
      </c>
      <c r="AP35" s="11">
        <v>0.2069</v>
      </c>
      <c r="AQ35" s="11">
        <v>7.9000000000000008E-3</v>
      </c>
      <c r="AR35" s="11">
        <v>5.0900000000000001E-2</v>
      </c>
      <c r="AS35" s="11">
        <v>-0.1782</v>
      </c>
    </row>
    <row r="36" spans="1:45" ht="16.5" thickBot="1" x14ac:dyDescent="0.3">
      <c r="A36" s="6" t="s">
        <v>153</v>
      </c>
      <c r="B36" s="10" t="s">
        <v>238</v>
      </c>
      <c r="C36" s="6" t="s">
        <v>206</v>
      </c>
      <c r="D36" s="6" t="s">
        <v>99</v>
      </c>
      <c r="E36" s="6" t="s">
        <v>191</v>
      </c>
      <c r="F36" s="6" t="s">
        <v>207</v>
      </c>
      <c r="G36" s="6" t="s">
        <v>96</v>
      </c>
      <c r="H36" s="6" t="s">
        <v>98</v>
      </c>
      <c r="I36" s="13" t="b">
        <f>IF(COUNTIF(Screener[[#This Row],[Debt - Payoff Possible]:[OCF - 1-year]],TRUE)&gt;=7,TRUE,IF(COUNTIF(Screener[[#This Row],[Debt - Payoff Possible]:[OCF - 1-year]],FALSE)&lt;=3,"CHECK",FALSE))</f>
        <v>0</v>
      </c>
      <c r="J36" s="14" t="b">
        <v>1</v>
      </c>
      <c r="K36" s="13" t="b">
        <f>IF(MIN(Screener[[#This Row],[ROIC - 10-year]:[ROIC - 1-year]])&gt;=0.1,TRUE,IF(MIN(Screener[[#This Row],[ROIC - 10-year]:[ROIC - 1-year]])&gt;=0.08,"CHECK",FALSE))</f>
        <v>1</v>
      </c>
      <c r="L36" s="11">
        <v>0.1487</v>
      </c>
      <c r="M36" s="11">
        <v>0.1908</v>
      </c>
      <c r="N36" s="11">
        <v>0.17910000000000001</v>
      </c>
      <c r="O36" s="11">
        <v>0.1235</v>
      </c>
      <c r="P36" s="13" t="b">
        <f>IF(MIN(Screener[[#This Row],[ROIC QuickFS - 10-year]:[ROIC QuickFS - 1-year]])&gt;=0.1,TRUE,IF(MIN(Screener[[#This Row],[ROIC QuickFS - 10-year]:[ROIC QuickFS - 1-year]])&gt;=0.08,"CHECK",FALSE))</f>
        <v>1</v>
      </c>
      <c r="Q36" s="11">
        <v>0.31640000000000001</v>
      </c>
      <c r="R36" s="11">
        <v>0.60560000000000003</v>
      </c>
      <c r="S36" s="11">
        <v>0.58860000000000001</v>
      </c>
      <c r="T36" s="11">
        <v>0.65890000000000004</v>
      </c>
      <c r="U36" s="13" t="b">
        <f>IF(MIN(Screener[[#This Row],[Equity - 10-year]:[Equity - 1-year]])&gt;=0.1,TRUE,IF(MIN(Screener[[#This Row],[Equity - 10-year]:[Equity - 1-year]])&gt;=0.08,"CHECK",FALSE))</f>
        <v>0</v>
      </c>
      <c r="V36" s="11">
        <v>4.6600000000000003E-2</v>
      </c>
      <c r="W36" s="11">
        <v>0.14019999999999999</v>
      </c>
      <c r="X36" s="11">
        <v>0.19350000000000001</v>
      </c>
      <c r="Y36" s="11">
        <v>0.26290000000000002</v>
      </c>
      <c r="Z36" s="13" t="b">
        <f>IF(MIN(Screener[[#This Row],[EPS - 10-year]:[EPS - 1-year]])&gt;=0.1,TRUE,IF(MIN(Screener[[#This Row],[EPS - 10-year]:[EPS - 1-year]])&gt;=0.08,"CHECK",FALSE))</f>
        <v>1</v>
      </c>
      <c r="AA36" s="11">
        <v>0.22140000000000001</v>
      </c>
      <c r="AB36" s="11">
        <v>1.1347</v>
      </c>
      <c r="AC36" s="11">
        <v>0.28970000000000001</v>
      </c>
      <c r="AD36" s="11">
        <v>0.75</v>
      </c>
      <c r="AE36" s="13" t="b">
        <f>IF(MIN(Screener[[#This Row],[Sales - 10-year]:[Sales - 1-year]])&gt;=0.1,TRUE,IF(MIN(Screener[[#This Row],[Sales - 10-year]:[Sales - 1-year]])&gt;=0.08,"CHECK",FALSE))</f>
        <v>0</v>
      </c>
      <c r="AF36" s="11">
        <v>4.2299999999999997E-2</v>
      </c>
      <c r="AG36" s="11">
        <v>8.2199999999999995E-2</v>
      </c>
      <c r="AH36" s="11">
        <v>0.1024</v>
      </c>
      <c r="AI36" s="11">
        <v>6.7299999999999999E-2</v>
      </c>
      <c r="AJ36" s="13" t="b">
        <f>IF(MIN(Screener[[#This Row],[FCF - 10-year]:[FCF - 1-year]])&gt;=0.1,TRUE,IF(MIN(Screener[[#This Row],[FCF - 10-year]:[FCF - 1-year]])&gt;=0.08,"CHECK",FALSE))</f>
        <v>0</v>
      </c>
      <c r="AK36" s="11">
        <v>1.7399999999999999E-2</v>
      </c>
      <c r="AL36" s="11">
        <v>0.23719999999999999</v>
      </c>
      <c r="AM36" s="11">
        <v>0.1464</v>
      </c>
      <c r="AN36" s="11">
        <v>0.43569999999999998</v>
      </c>
      <c r="AO36" s="12" t="b">
        <f>IF(MIN(Screener[[#This Row],[OCF - 10-year]:[OCF - 1-year]])&gt;=0.1,TRUE,IF(MIN(Screener[[#This Row],[OCF - 10-year]:[OCF - 1-year]])&gt;=0.08,"CHECK",FALSE))</f>
        <v>0</v>
      </c>
      <c r="AP36" s="11">
        <v>1.5299999999999999E-2</v>
      </c>
      <c r="AQ36" s="11">
        <v>0.1893</v>
      </c>
      <c r="AR36" s="11">
        <v>0.13800000000000001</v>
      </c>
      <c r="AS36" s="11">
        <v>0.3926</v>
      </c>
    </row>
    <row r="37" spans="1:45" ht="16.5" thickBot="1" x14ac:dyDescent="0.3">
      <c r="A37" s="6" t="s">
        <v>154</v>
      </c>
      <c r="B37" s="10" t="s">
        <v>238</v>
      </c>
      <c r="C37" s="6" t="s">
        <v>208</v>
      </c>
      <c r="D37" s="6" t="s">
        <v>109</v>
      </c>
      <c r="E37" s="6" t="s">
        <v>110</v>
      </c>
      <c r="F37" s="6" t="s">
        <v>209</v>
      </c>
      <c r="G37" s="6" t="s">
        <v>96</v>
      </c>
      <c r="H37" s="6" t="s">
        <v>171</v>
      </c>
      <c r="I37" s="13" t="b">
        <f>IF(COUNTIF(Screener[[#This Row],[Debt - Payoff Possible]:[OCF - 1-year]],TRUE)&gt;=7,TRUE,IF(COUNTIF(Screener[[#This Row],[Debt - Payoff Possible]:[OCF - 1-year]],FALSE)&lt;=3,"CHECK",FALSE))</f>
        <v>0</v>
      </c>
      <c r="J37" s="14" t="b">
        <v>1</v>
      </c>
      <c r="K37" s="13" t="b">
        <f>IF(MIN(Screener[[#This Row],[ROIC - 10-year]:[ROIC - 1-year]])&gt;=0.1,TRUE,IF(MIN(Screener[[#This Row],[ROIC - 10-year]:[ROIC - 1-year]])&gt;=0.08,"CHECK",FALSE))</f>
        <v>0</v>
      </c>
      <c r="L37" s="11">
        <v>3.8100000000000002E-2</v>
      </c>
      <c r="M37" s="11">
        <v>5.8200000000000002E-2</v>
      </c>
      <c r="N37" s="11">
        <v>7.3200000000000001E-2</v>
      </c>
      <c r="O37" s="11">
        <v>4.7100000000000003E-2</v>
      </c>
      <c r="P37" s="13" t="b">
        <f>IF(MIN(Screener[[#This Row],[ROIC QuickFS - 10-year]:[ROIC QuickFS - 1-year]])&gt;=0.1,TRUE,IF(MIN(Screener[[#This Row],[ROIC QuickFS - 10-year]:[ROIC QuickFS - 1-year]])&gt;=0.08,"CHECK",FALSE))</f>
        <v>0</v>
      </c>
      <c r="Q37" s="11">
        <v>2.0799999999999999E-2</v>
      </c>
      <c r="R37" s="11">
        <v>1.21E-2</v>
      </c>
      <c r="S37" s="11">
        <v>2.4500000000000001E-2</v>
      </c>
      <c r="T37" s="11">
        <v>1.6400000000000001E-2</v>
      </c>
      <c r="U37" s="13" t="b">
        <f>IF(MIN(Screener[[#This Row],[Equity - 10-year]:[Equity - 1-year]])&gt;=0.1,TRUE,IF(MIN(Screener[[#This Row],[Equity - 10-year]:[Equity - 1-year]])&gt;=0.08,"CHECK",FALSE))</f>
        <v>0</v>
      </c>
      <c r="V37" s="11">
        <v>4.7800000000000002E-2</v>
      </c>
      <c r="W37" s="11">
        <v>-8.9700000000000002E-2</v>
      </c>
      <c r="X37" s="11">
        <v>-0.12330000000000001</v>
      </c>
      <c r="Y37" s="11">
        <v>-9.0499999999999997E-2</v>
      </c>
      <c r="Z37" s="13" t="b">
        <f>IF(MIN(Screener[[#This Row],[EPS - 10-year]:[EPS - 1-year]])&gt;=0.1,TRUE,IF(MIN(Screener[[#This Row],[EPS - 10-year]:[EPS - 1-year]])&gt;=0.08,"CHECK",FALSE))</f>
        <v>0</v>
      </c>
      <c r="AA37" s="11">
        <v>-7.4200000000000002E-2</v>
      </c>
      <c r="AB37" s="11">
        <v>1.1066</v>
      </c>
      <c r="AC37" s="11">
        <v>0.37209999999999999</v>
      </c>
      <c r="AD37" s="11">
        <v>-0.39219999999999999</v>
      </c>
      <c r="AE37" s="13" t="b">
        <f>IF(MIN(Screener[[#This Row],[Sales - 10-year]:[Sales - 1-year]])&gt;=0.1,TRUE,IF(MIN(Screener[[#This Row],[Sales - 10-year]:[Sales - 1-year]])&gt;=0.08,"CHECK",FALSE))</f>
        <v>0</v>
      </c>
      <c r="AF37" s="11">
        <v>0.1109</v>
      </c>
      <c r="AG37" s="11">
        <v>-3.5999999999999997E-2</v>
      </c>
      <c r="AH37" s="11">
        <v>3.8600000000000002E-2</v>
      </c>
      <c r="AI37" s="11">
        <v>1.7600000000000001E-2</v>
      </c>
      <c r="AJ37" s="13" t="b">
        <f>IF(MIN(Screener[[#This Row],[FCF - 10-year]:[FCF - 1-year]])&gt;=0.1,TRUE,IF(MIN(Screener[[#This Row],[FCF - 10-year]:[FCF - 1-year]])&gt;=0.08,"CHECK",FALSE))</f>
        <v>0</v>
      </c>
      <c r="AK37" s="11">
        <v>0.1754</v>
      </c>
      <c r="AL37" s="11">
        <v>0.28589999999999999</v>
      </c>
      <c r="AM37" s="11">
        <v>0.64029999999999998</v>
      </c>
      <c r="AN37" s="11">
        <v>-2.1999999999999999E-2</v>
      </c>
      <c r="AO37" s="12" t="b">
        <f>IF(MIN(Screener[[#This Row],[OCF - 10-year]:[OCF - 1-year]])&gt;=0.1,TRUE,IF(MIN(Screener[[#This Row],[OCF - 10-year]:[OCF - 1-year]])&gt;=0.08,"CHECK",FALSE))</f>
        <v>1</v>
      </c>
      <c r="AP37" s="11">
        <v>0.12820000000000001</v>
      </c>
      <c r="AQ37" s="11">
        <v>0.16250000000000001</v>
      </c>
      <c r="AR37" s="11">
        <v>0.42299999999999999</v>
      </c>
      <c r="AS37" s="11">
        <v>0.3634</v>
      </c>
    </row>
    <row r="38" spans="1:45" ht="16.5" thickBot="1" x14ac:dyDescent="0.3">
      <c r="A38" s="6" t="s">
        <v>155</v>
      </c>
      <c r="B38" s="10" t="s">
        <v>238</v>
      </c>
      <c r="C38" s="6" t="s">
        <v>210</v>
      </c>
      <c r="D38" s="6" t="s">
        <v>112</v>
      </c>
      <c r="E38" s="6" t="s">
        <v>113</v>
      </c>
      <c r="F38" s="6" t="s">
        <v>211</v>
      </c>
      <c r="G38" s="6" t="s">
        <v>96</v>
      </c>
      <c r="H38" s="6" t="s">
        <v>98</v>
      </c>
      <c r="I38" s="13" t="str">
        <f>IF(COUNTIF(Screener[[#This Row],[Debt - Payoff Possible]:[OCF - 1-year]],TRUE)&gt;=7,TRUE,IF(COUNTIF(Screener[[#This Row],[Debt - Payoff Possible]:[OCF - 1-year]],FALSE)&lt;=3,"CHECK",FALSE))</f>
        <v>CHECK</v>
      </c>
      <c r="J38" s="14" t="b">
        <v>1</v>
      </c>
      <c r="K38" s="13" t="b">
        <f>IF(MIN(Screener[[#This Row],[ROIC - 10-year]:[ROIC - 1-year]])&gt;=0.1,TRUE,IF(MIN(Screener[[#This Row],[ROIC - 10-year]:[ROIC - 1-year]])&gt;=0.08,"CHECK",FALSE))</f>
        <v>0</v>
      </c>
      <c r="L38" s="11">
        <v>0.1686</v>
      </c>
      <c r="M38" s="11">
        <v>4.8000000000000001E-2</v>
      </c>
      <c r="N38" s="11">
        <v>-4.19E-2</v>
      </c>
      <c r="O38" s="11">
        <v>-8.5000000000000006E-2</v>
      </c>
      <c r="P38" s="13" t="b">
        <f>IF(MIN(Screener[[#This Row],[ROIC QuickFS - 10-year]:[ROIC QuickFS - 1-year]])&gt;=0.1,TRUE,IF(MIN(Screener[[#This Row],[ROIC QuickFS - 10-year]:[ROIC QuickFS - 1-year]])&gt;=0.08,"CHECK",FALSE))</f>
        <v>0</v>
      </c>
      <c r="Q38" s="11">
        <v>0.28949999999999998</v>
      </c>
      <c r="R38" s="11">
        <v>6.5100000000000005E-2</v>
      </c>
      <c r="S38" s="11">
        <v>-6.4199999999999993E-2</v>
      </c>
      <c r="T38" s="11">
        <v>-0.14829999999999999</v>
      </c>
      <c r="U38" s="13" t="b">
        <f>IF(MIN(Screener[[#This Row],[Equity - 10-year]:[Equity - 1-year]])&gt;=0.1,TRUE,IF(MIN(Screener[[#This Row],[Equity - 10-year]:[Equity - 1-year]])&gt;=0.08,"CHECK",FALSE))</f>
        <v>1</v>
      </c>
      <c r="V38" s="11">
        <v>0.31740000000000002</v>
      </c>
      <c r="W38" s="11">
        <v>0.38269999999999998</v>
      </c>
      <c r="X38" s="11">
        <v>0.61260000000000003</v>
      </c>
      <c r="Y38" s="11">
        <v>4.3864000000000001</v>
      </c>
      <c r="Z38" s="13" t="b">
        <f>IF(MIN(Screener[[#This Row],[EPS - 10-year]:[EPS - 1-year]])&gt;=0.1,TRUE,IF(MIN(Screener[[#This Row],[EPS - 10-year]:[EPS - 1-year]])&gt;=0.08,"CHECK",FALSE))</f>
        <v>0</v>
      </c>
      <c r="AA38" s="11">
        <v>-7.5899999999999995E-2</v>
      </c>
      <c r="AB38" s="11">
        <v>-0.1633</v>
      </c>
      <c r="AC38" s="11">
        <v>-0.29330000000000001</v>
      </c>
      <c r="AD38" s="11">
        <v>-3.5244</v>
      </c>
      <c r="AE38" s="13" t="b">
        <f>IF(MIN(Screener[[#This Row],[Sales - 10-year]:[Sales - 1-year]])&gt;=0.1,TRUE,IF(MIN(Screener[[#This Row],[Sales - 10-year]:[Sales - 1-year]])&gt;=0.08,"CHECK",FALSE))</f>
        <v>1</v>
      </c>
      <c r="AF38" s="11">
        <v>0.29520000000000002</v>
      </c>
      <c r="AG38" s="11">
        <v>0.32769999999999999</v>
      </c>
      <c r="AH38" s="11">
        <v>0.39579999999999999</v>
      </c>
      <c r="AI38" s="11">
        <v>0.59499999999999997</v>
      </c>
      <c r="AJ38" s="13" t="b">
        <f>IF(MIN(Screener[[#This Row],[FCF - 10-year]:[FCF - 1-year]])&gt;=0.1,TRUE,IF(MIN(Screener[[#This Row],[FCF - 10-year]:[FCF - 1-year]])&gt;=0.08,"CHECK",FALSE))</f>
        <v>1</v>
      </c>
      <c r="AK38" s="11">
        <v>0.21210000000000001</v>
      </c>
      <c r="AL38" s="11">
        <v>0.14119999999999999</v>
      </c>
      <c r="AM38" s="11">
        <v>0.40500000000000003</v>
      </c>
      <c r="AN38" s="11">
        <v>1.357</v>
      </c>
      <c r="AO38" s="12" t="b">
        <f>IF(MIN(Screener[[#This Row],[OCF - 10-year]:[OCF - 1-year]])&gt;=0.1,TRUE,IF(MIN(Screener[[#This Row],[OCF - 10-year]:[OCF - 1-year]])&gt;=0.08,"CHECK",FALSE))</f>
        <v>1</v>
      </c>
      <c r="AP38" s="11">
        <v>0.24679999999999999</v>
      </c>
      <c r="AQ38" s="11">
        <v>0.18049999999999999</v>
      </c>
      <c r="AR38" s="11">
        <v>0.33339999999999997</v>
      </c>
      <c r="AS38" s="11">
        <v>0.9536</v>
      </c>
    </row>
    <row r="39" spans="1:45" ht="16.5" thickBot="1" x14ac:dyDescent="0.3">
      <c r="A39" s="6" t="s">
        <v>156</v>
      </c>
      <c r="B39" s="10" t="s">
        <v>238</v>
      </c>
      <c r="C39" s="6" t="s">
        <v>212</v>
      </c>
      <c r="D39" s="6" t="s">
        <v>109</v>
      </c>
      <c r="E39" s="6" t="s">
        <v>213</v>
      </c>
      <c r="F39" s="6" t="s">
        <v>97</v>
      </c>
      <c r="G39" s="6" t="s">
        <v>96</v>
      </c>
      <c r="H39" s="6" t="s">
        <v>108</v>
      </c>
      <c r="I39" s="13" t="b">
        <f>IF(COUNTIF(Screener[[#This Row],[Debt - Payoff Possible]:[OCF - 1-year]],TRUE)&gt;=7,TRUE,IF(COUNTIF(Screener[[#This Row],[Debt - Payoff Possible]:[OCF - 1-year]],FALSE)&lt;=3,"CHECK",FALSE))</f>
        <v>0</v>
      </c>
      <c r="J39" s="14" t="b">
        <v>0</v>
      </c>
      <c r="K39" s="13" t="b">
        <f>IF(MIN(Screener[[#This Row],[ROIC - 10-year]:[ROIC - 1-year]])&gt;=0.1,TRUE,IF(MIN(Screener[[#This Row],[ROIC - 10-year]:[ROIC - 1-year]])&gt;=0.08,"CHECK",FALSE))</f>
        <v>1</v>
      </c>
      <c r="L39" s="11">
        <v>0.2051</v>
      </c>
      <c r="M39" s="11">
        <v>0.1986</v>
      </c>
      <c r="N39" s="11">
        <v>0.1825</v>
      </c>
      <c r="O39" s="11">
        <v>0.15970000000000001</v>
      </c>
      <c r="P39" s="13" t="b">
        <f>IF(MIN(Screener[[#This Row],[ROIC QuickFS - 10-year]:[ROIC QuickFS - 1-year]])&gt;=0.1,TRUE,IF(MIN(Screener[[#This Row],[ROIC QuickFS - 10-year]:[ROIC QuickFS - 1-year]])&gt;=0.08,"CHECK",FALSE))</f>
        <v>1</v>
      </c>
      <c r="Q39" s="11">
        <v>0.2288</v>
      </c>
      <c r="R39" s="11">
        <v>0.2303</v>
      </c>
      <c r="S39" s="11">
        <v>0.217</v>
      </c>
      <c r="T39" s="11">
        <v>0.18049999999999999</v>
      </c>
      <c r="U39" s="13" t="b">
        <f>IF(MIN(Screener[[#This Row],[Equity - 10-year]:[Equity - 1-year]])&gt;=0.1,TRUE,IF(MIN(Screener[[#This Row],[Equity - 10-year]:[Equity - 1-year]])&gt;=0.08,"CHECK",FALSE))</f>
        <v>0</v>
      </c>
      <c r="V39" s="11">
        <v>-8.3999999999999995E-3</v>
      </c>
      <c r="W39" s="11">
        <v>-2.7099999999999999E-2</v>
      </c>
      <c r="X39" s="11">
        <v>1.1599999999999999E-2</v>
      </c>
      <c r="Y39" s="11">
        <v>5.79E-2</v>
      </c>
      <c r="Z39" s="13" t="b">
        <f>IF(MIN(Screener[[#This Row],[EPS - 10-year]:[EPS - 1-year]])&gt;=0.1,TRUE,IF(MIN(Screener[[#This Row],[EPS - 10-year]:[EPS - 1-year]])&gt;=0.08,"CHECK",FALSE))</f>
        <v>0</v>
      </c>
      <c r="AA39" s="11">
        <v>5.62E-2</v>
      </c>
      <c r="AB39" s="11">
        <v>8.3999999999999995E-3</v>
      </c>
      <c r="AC39" s="11">
        <v>-1.4500000000000001E-2</v>
      </c>
      <c r="AD39" s="11">
        <v>-0.1215</v>
      </c>
      <c r="AE39" s="13" t="b">
        <f>IF(MIN(Screener[[#This Row],[Sales - 10-year]:[Sales - 1-year]])&gt;=0.1,TRUE,IF(MIN(Screener[[#This Row],[Sales - 10-year]:[Sales - 1-year]])&gt;=0.08,"CHECK",FALSE))</f>
        <v>0</v>
      </c>
      <c r="AF39" s="11">
        <v>3.3500000000000002E-2</v>
      </c>
      <c r="AG39" s="11">
        <v>2E-3</v>
      </c>
      <c r="AH39" s="11">
        <v>2.1999999999999999E-2</v>
      </c>
      <c r="AI39" s="11">
        <v>-1.9199999999999998E-2</v>
      </c>
      <c r="AJ39" s="13" t="b">
        <f>IF(MIN(Screener[[#This Row],[FCF - 10-year]:[FCF - 1-year]])&gt;=0.1,TRUE,IF(MIN(Screener[[#This Row],[FCF - 10-year]:[FCF - 1-year]])&gt;=0.08,"CHECK",FALSE))</f>
        <v>0</v>
      </c>
      <c r="AK39" s="11">
        <v>2.9399999999999999E-2</v>
      </c>
      <c r="AL39" s="11">
        <v>8.3999999999999995E-3</v>
      </c>
      <c r="AM39" s="11">
        <v>1.21E-2</v>
      </c>
      <c r="AN39" s="11">
        <v>7.22E-2</v>
      </c>
      <c r="AO39" s="12" t="b">
        <f>IF(MIN(Screener[[#This Row],[OCF - 10-year]:[OCF - 1-year]])&gt;=0.1,TRUE,IF(MIN(Screener[[#This Row],[OCF - 10-year]:[OCF - 1-year]])&gt;=0.08,"CHECK",FALSE))</f>
        <v>0</v>
      </c>
      <c r="AP39" s="11">
        <v>3.6499999999999998E-2</v>
      </c>
      <c r="AQ39" s="11">
        <v>1.3100000000000001E-2</v>
      </c>
      <c r="AR39" s="11">
        <v>0.02</v>
      </c>
      <c r="AS39" s="11">
        <v>9.8000000000000004E-2</v>
      </c>
    </row>
    <row r="40" spans="1:45" ht="16.5" thickBot="1" x14ac:dyDescent="0.3">
      <c r="A40" s="6" t="s">
        <v>157</v>
      </c>
      <c r="B40" s="10" t="s">
        <v>238</v>
      </c>
      <c r="C40" s="6" t="s">
        <v>214</v>
      </c>
      <c r="D40" s="6" t="s">
        <v>112</v>
      </c>
      <c r="E40" s="6" t="s">
        <v>203</v>
      </c>
      <c r="F40" s="6" t="s">
        <v>188</v>
      </c>
      <c r="G40" s="6" t="s">
        <v>96</v>
      </c>
      <c r="H40" s="6" t="s">
        <v>171</v>
      </c>
      <c r="I40" s="13" t="b">
        <f>IF(COUNTIF(Screener[[#This Row],[Debt - Payoff Possible]:[OCF - 1-year]],TRUE)&gt;=7,TRUE,IF(COUNTIF(Screener[[#This Row],[Debt - Payoff Possible]:[OCF - 1-year]],FALSE)&lt;=3,"CHECK",FALSE))</f>
        <v>0</v>
      </c>
      <c r="J40" s="14" t="b">
        <v>1</v>
      </c>
      <c r="K40" s="13" t="b">
        <f>IF(MIN(Screener[[#This Row],[ROIC - 10-year]:[ROIC - 1-year]])&gt;=0.1,TRUE,IF(MIN(Screener[[#This Row],[ROIC - 10-year]:[ROIC - 1-year]])&gt;=0.08,"CHECK",FALSE))</f>
        <v>1</v>
      </c>
      <c r="L40" s="11">
        <v>0.1113</v>
      </c>
      <c r="M40" s="11">
        <v>0.13109999999999999</v>
      </c>
      <c r="N40" s="11">
        <v>0.13750000000000001</v>
      </c>
      <c r="O40" s="11">
        <v>0.12740000000000001</v>
      </c>
      <c r="P40" s="13" t="b">
        <f>IF(MIN(Screener[[#This Row],[ROIC QuickFS - 10-year]:[ROIC QuickFS - 1-year]])&gt;=0.1,TRUE,IF(MIN(Screener[[#This Row],[ROIC QuickFS - 10-year]:[ROIC QuickFS - 1-year]])&gt;=0.08,"CHECK",FALSE))</f>
        <v>1</v>
      </c>
      <c r="Q40" s="11">
        <v>0.22159999999999999</v>
      </c>
      <c r="R40" s="11">
        <v>0.28149999999999997</v>
      </c>
      <c r="S40" s="11">
        <v>0.28539999999999999</v>
      </c>
      <c r="T40" s="11">
        <v>0.24030000000000001</v>
      </c>
      <c r="U40" s="13" t="b">
        <f>IF(MIN(Screener[[#This Row],[Equity - 10-year]:[Equity - 1-year]])&gt;=0.1,TRUE,IF(MIN(Screener[[#This Row],[Equity - 10-year]:[Equity - 1-year]])&gt;=0.08,"CHECK",FALSE))</f>
        <v>0</v>
      </c>
      <c r="V40" s="11">
        <v>6.2700000000000006E-2</v>
      </c>
      <c r="W40" s="11">
        <v>0.1086</v>
      </c>
      <c r="X40" s="11">
        <v>0.10979999999999999</v>
      </c>
      <c r="Y40" s="11">
        <v>9.2499999999999999E-2</v>
      </c>
      <c r="Z40" s="13" t="b">
        <f>IF(MIN(Screener[[#This Row],[EPS - 10-year]:[EPS - 1-year]])&gt;=0.1,TRUE,IF(MIN(Screener[[#This Row],[EPS - 10-year]:[EPS - 1-year]])&gt;=0.08,"CHECK",FALSE))</f>
        <v>0</v>
      </c>
      <c r="AA40" s="11">
        <v>1.1075999999999999</v>
      </c>
      <c r="AB40" s="11">
        <v>0.1125</v>
      </c>
      <c r="AC40" s="11">
        <v>0.10780000000000001</v>
      </c>
      <c r="AD40" s="11">
        <v>-6.2E-2</v>
      </c>
      <c r="AE40" s="13" t="b">
        <f>IF(MIN(Screener[[#This Row],[Sales - 10-year]:[Sales - 1-year]])&gt;=0.1,TRUE,IF(MIN(Screener[[#This Row],[Sales - 10-year]:[Sales - 1-year]])&gt;=0.08,"CHECK",FALSE))</f>
        <v>0</v>
      </c>
      <c r="AF40" s="11">
        <v>4.8899999999999999E-2</v>
      </c>
      <c r="AG40" s="11">
        <v>7.4399999999999994E-2</v>
      </c>
      <c r="AH40" s="11">
        <v>6.9900000000000004E-2</v>
      </c>
      <c r="AI40" s="11">
        <v>2.0500000000000001E-2</v>
      </c>
      <c r="AJ40" s="13" t="b">
        <f>IF(MIN(Screener[[#This Row],[FCF - 10-year]:[FCF - 1-year]])&gt;=0.1,TRUE,IF(MIN(Screener[[#This Row],[FCF - 10-year]:[FCF - 1-year]])&gt;=0.08,"CHECK",FALSE))</f>
        <v>0</v>
      </c>
      <c r="AK40" s="11">
        <v>0.214</v>
      </c>
      <c r="AL40" s="11">
        <v>-3.2500000000000001E-2</v>
      </c>
      <c r="AM40" s="11">
        <v>-0.1825</v>
      </c>
      <c r="AN40" s="11">
        <v>-0.5867</v>
      </c>
      <c r="AO40" s="12" t="b">
        <f>IF(MIN(Screener[[#This Row],[OCF - 10-year]:[OCF - 1-year]])&gt;=0.1,TRUE,IF(MIN(Screener[[#This Row],[OCF - 10-year]:[OCF - 1-year]])&gt;=0.08,"CHECK",FALSE))</f>
        <v>0</v>
      </c>
      <c r="AP40" s="11">
        <v>0.1313</v>
      </c>
      <c r="AQ40" s="11">
        <v>-7.6E-3</v>
      </c>
      <c r="AR40" s="11">
        <v>-0.1099</v>
      </c>
      <c r="AS40" s="11">
        <v>-0.44209999999999999</v>
      </c>
    </row>
    <row r="41" spans="1:45" ht="16.5" thickBot="1" x14ac:dyDescent="0.3">
      <c r="A41" s="6" t="s">
        <v>158</v>
      </c>
      <c r="B41" s="10" t="s">
        <v>238</v>
      </c>
      <c r="C41" s="6" t="s">
        <v>215</v>
      </c>
      <c r="D41" s="6" t="s">
        <v>216</v>
      </c>
      <c r="E41" s="6" t="s">
        <v>217</v>
      </c>
      <c r="F41" s="6" t="s">
        <v>97</v>
      </c>
      <c r="G41" s="6" t="s">
        <v>96</v>
      </c>
      <c r="H41" s="6" t="s">
        <v>98</v>
      </c>
      <c r="I41" s="13" t="b">
        <f>IF(COUNTIF(Screener[[#This Row],[Debt - Payoff Possible]:[OCF - 1-year]],TRUE)&gt;=7,TRUE,IF(COUNTIF(Screener[[#This Row],[Debt - Payoff Possible]:[OCF - 1-year]],FALSE)&lt;=3,"CHECK",FALSE))</f>
        <v>0</v>
      </c>
      <c r="J41" s="14" t="b">
        <v>1</v>
      </c>
      <c r="K41" s="13" t="b">
        <f>IF(MIN(Screener[[#This Row],[ROIC - 10-year]:[ROIC - 1-year]])&gt;=0.1,TRUE,IF(MIN(Screener[[#This Row],[ROIC - 10-year]:[ROIC - 1-year]])&gt;=0.08,"CHECK",FALSE))</f>
        <v>1</v>
      </c>
      <c r="L41" s="11">
        <v>2.7728892186181651</v>
      </c>
      <c r="M41" s="11">
        <v>3.2474102076259022</v>
      </c>
      <c r="N41" s="11">
        <v>5.9109452640345213</v>
      </c>
      <c r="O41" s="11">
        <v>1.377193376116322</v>
      </c>
      <c r="P41" s="13" t="b">
        <f>IF(MIN(Screener[[#This Row],[ROIC QuickFS - 10-year]:[ROIC QuickFS - 1-year]])&gt;=0.1,TRUE,IF(MIN(Screener[[#This Row],[ROIC QuickFS - 10-year]:[ROIC QuickFS - 1-year]])&gt;=0.08,"CHECK",FALSE))</f>
        <v>0</v>
      </c>
      <c r="Q41" s="11">
        <v>-46.204050000000002</v>
      </c>
      <c r="R41" s="11">
        <v>-55.444860000000013</v>
      </c>
      <c r="S41" s="11">
        <v>-92.90336666666667</v>
      </c>
      <c r="T41" s="11">
        <v>2.4653999999999998</v>
      </c>
      <c r="U41" s="13" t="b">
        <f>IF(MIN(Screener[[#This Row],[Equity - 10-year]:[Equity - 1-year]])&gt;=0.1,TRUE,IF(MIN(Screener[[#This Row],[Equity - 10-year]:[Equity - 1-year]])&gt;=0.08,"CHECK",FALSE))</f>
        <v>0</v>
      </c>
      <c r="V41" s="11"/>
      <c r="W41" s="11">
        <v>0.20329675763626251</v>
      </c>
      <c r="X41" s="11">
        <v>-0.50236563945220825</v>
      </c>
      <c r="Y41" s="11">
        <v>-0.56408961268435398</v>
      </c>
      <c r="Z41" s="13" t="b">
        <f>IF(MIN(Screener[[#This Row],[EPS - 10-year]:[EPS - 1-year]])&gt;=0.1,TRUE,IF(MIN(Screener[[#This Row],[EPS - 10-year]:[EPS - 1-year]])&gt;=0.08,"CHECK",FALSE))</f>
        <v>0</v>
      </c>
      <c r="AA41" s="11"/>
      <c r="AB41" s="11">
        <v>-2.8080976508138681E-2</v>
      </c>
      <c r="AC41" s="11">
        <v>0.51181142631513166</v>
      </c>
      <c r="AD41" s="11">
        <v>-2.6548672566371719E-2</v>
      </c>
      <c r="AE41" s="13" t="b">
        <f>IF(MIN(Screener[[#This Row],[Sales - 10-year]:[Sales - 1-year]])&gt;=0.1,TRUE,IF(MIN(Screener[[#This Row],[Sales - 10-year]:[Sales - 1-year]])&gt;=0.08,"CHECK",FALSE))</f>
        <v>0</v>
      </c>
      <c r="AF41" s="11"/>
      <c r="AG41" s="11">
        <v>1.128750080008331</v>
      </c>
      <c r="AH41" s="11">
        <v>0</v>
      </c>
      <c r="AI41" s="11">
        <v>-0.18277416124186269</v>
      </c>
      <c r="AJ41" s="13" t="b">
        <f>IF(MIN(Screener[[#This Row],[FCF - 10-year]:[FCF - 1-year]])&gt;=0.1,TRUE,IF(MIN(Screener[[#This Row],[FCF - 10-year]:[FCF - 1-year]])&gt;=0.08,"CHECK",FALSE))</f>
        <v>0</v>
      </c>
      <c r="AK41" s="11"/>
      <c r="AL41" s="11">
        <v>-0.1670686264369958</v>
      </c>
      <c r="AM41" s="11">
        <v>0.28405348527033242</v>
      </c>
      <c r="AN41" s="11">
        <v>0.31617424114813197</v>
      </c>
      <c r="AO41" s="12" t="b">
        <f>IF(MIN(Screener[[#This Row],[OCF - 10-year]:[OCF - 1-year]])&gt;=0.1,TRUE,IF(MIN(Screener[[#This Row],[OCF - 10-year]:[OCF - 1-year]])&gt;=0.08,"CHECK",FALSE))</f>
        <v>0</v>
      </c>
      <c r="AP41" s="11"/>
      <c r="AQ41" s="11">
        <v>-0.18232211504940171</v>
      </c>
      <c r="AR41" s="11">
        <v>0.26059539949045818</v>
      </c>
      <c r="AS41" s="11">
        <v>0.30564192139737989</v>
      </c>
    </row>
    <row r="42" spans="1:45" ht="16.5" thickBot="1" x14ac:dyDescent="0.3">
      <c r="A42" s="6" t="s">
        <v>159</v>
      </c>
      <c r="B42" s="10" t="s">
        <v>238</v>
      </c>
      <c r="C42" s="6" t="s">
        <v>218</v>
      </c>
      <c r="D42" s="6" t="s">
        <v>99</v>
      </c>
      <c r="E42" s="6" t="s">
        <v>219</v>
      </c>
      <c r="F42" s="6" t="s">
        <v>97</v>
      </c>
      <c r="G42" s="6" t="s">
        <v>96</v>
      </c>
      <c r="H42" s="6" t="s">
        <v>98</v>
      </c>
      <c r="I42" s="13" t="str">
        <f>IF(COUNTIF(Screener[[#This Row],[Debt - Payoff Possible]:[OCF - 1-year]],TRUE)&gt;=7,TRUE,IF(COUNTIF(Screener[[#This Row],[Debt - Payoff Possible]:[OCF - 1-year]],FALSE)&lt;=3,"CHECK",FALSE))</f>
        <v>CHECK</v>
      </c>
      <c r="J42" s="14" t="b">
        <v>1</v>
      </c>
      <c r="K42" s="13" t="b">
        <f>IF(MIN(Screener[[#This Row],[ROIC - 10-year]:[ROIC - 1-year]])&gt;=0.1,TRUE,IF(MIN(Screener[[#This Row],[ROIC - 10-year]:[ROIC - 1-year]])&gt;=0.08,"CHECK",FALSE))</f>
        <v>1</v>
      </c>
      <c r="L42" s="11">
        <v>0.1638</v>
      </c>
      <c r="M42" s="11">
        <v>0.2291</v>
      </c>
      <c r="N42" s="11">
        <v>0.27550000000000002</v>
      </c>
      <c r="O42" s="11">
        <v>0.18870000000000001</v>
      </c>
      <c r="P42" s="13" t="b">
        <f>IF(MIN(Screener[[#This Row],[ROIC QuickFS - 10-year]:[ROIC QuickFS - 1-year]])&gt;=0.1,TRUE,IF(MIN(Screener[[#This Row],[ROIC QuickFS - 10-year]:[ROIC QuickFS - 1-year]])&gt;=0.08,"CHECK",FALSE))</f>
        <v>1</v>
      </c>
      <c r="Q42" s="11">
        <v>0.2462</v>
      </c>
      <c r="R42" s="11">
        <v>0.3579</v>
      </c>
      <c r="S42" s="11">
        <v>0.4672</v>
      </c>
      <c r="T42" s="11">
        <v>0.3881</v>
      </c>
      <c r="U42" s="13" t="b">
        <f>IF(MIN(Screener[[#This Row],[Equity - 10-year]:[Equity - 1-year]])&gt;=0.1,TRUE,IF(MIN(Screener[[#This Row],[Equity - 10-year]:[Equity - 1-year]])&gt;=0.08,"CHECK",FALSE))</f>
        <v>1</v>
      </c>
      <c r="V42" s="11">
        <v>0.15079999999999999</v>
      </c>
      <c r="W42" s="11">
        <v>0.20269999999999999</v>
      </c>
      <c r="X42" s="11">
        <v>0.3054</v>
      </c>
      <c r="Y42" s="11">
        <v>0.32119999999999999</v>
      </c>
      <c r="Z42" s="13" t="b">
        <f>IF(MIN(Screener[[#This Row],[EPS - 10-year]:[EPS - 1-year]])&gt;=0.1,TRUE,IF(MIN(Screener[[#This Row],[EPS - 10-year]:[EPS - 1-year]])&gt;=0.08,"CHECK",FALSE))</f>
        <v>0</v>
      </c>
      <c r="AA42" s="11">
        <v>1.4412</v>
      </c>
      <c r="AB42" s="11">
        <v>0.32190000000000002</v>
      </c>
      <c r="AC42" s="11">
        <v>0.20710000000000001</v>
      </c>
      <c r="AD42" s="11">
        <v>-0.31830000000000003</v>
      </c>
      <c r="AE42" s="13" t="b">
        <f>IF(MIN(Screener[[#This Row],[Sales - 10-year]:[Sales - 1-year]])&gt;=0.1,TRUE,IF(MIN(Screener[[#This Row],[Sales - 10-year]:[Sales - 1-year]])&gt;=0.08,"CHECK",FALSE))</f>
        <v>0</v>
      </c>
      <c r="AF42" s="11">
        <v>0.12620000000000001</v>
      </c>
      <c r="AG42" s="11">
        <v>0.1845</v>
      </c>
      <c r="AH42" s="11">
        <v>0.16470000000000001</v>
      </c>
      <c r="AI42" s="11">
        <v>-6.8099999999999994E-2</v>
      </c>
      <c r="AJ42" s="13" t="b">
        <f>IF(MIN(Screener[[#This Row],[FCF - 10-year]:[FCF - 1-year]])&gt;=0.1,TRUE,IF(MIN(Screener[[#This Row],[FCF - 10-year]:[FCF - 1-year]])&gt;=0.08,"CHECK",FALSE))</f>
        <v>1</v>
      </c>
      <c r="AK42" s="11">
        <v>0.26400000000000001</v>
      </c>
      <c r="AL42" s="11">
        <v>0.39629999999999999</v>
      </c>
      <c r="AM42" s="11">
        <v>0.41649999999999998</v>
      </c>
      <c r="AN42" s="11">
        <v>0.35920000000000002</v>
      </c>
      <c r="AO42" s="12" t="b">
        <f>IF(MIN(Screener[[#This Row],[OCF - 10-year]:[OCF - 1-year]])&gt;=0.1,TRUE,IF(MIN(Screener[[#This Row],[OCF - 10-year]:[OCF - 1-year]])&gt;=0.08,"CHECK",FALSE))</f>
        <v>1</v>
      </c>
      <c r="AP42" s="11">
        <v>0.25590000000000002</v>
      </c>
      <c r="AQ42" s="11">
        <v>0.39350000000000002</v>
      </c>
      <c r="AR42" s="11">
        <v>0.41739999999999999</v>
      </c>
      <c r="AS42" s="11">
        <v>0.27200000000000002</v>
      </c>
    </row>
    <row r="43" spans="1:45" ht="16.5" thickBot="1" x14ac:dyDescent="0.3">
      <c r="A43" s="6" t="s">
        <v>160</v>
      </c>
      <c r="B43" s="10" t="s">
        <v>238</v>
      </c>
      <c r="C43" s="6" t="s">
        <v>220</v>
      </c>
      <c r="D43" s="6" t="s">
        <v>99</v>
      </c>
      <c r="E43" s="6" t="s">
        <v>100</v>
      </c>
      <c r="F43" s="6" t="s">
        <v>180</v>
      </c>
      <c r="G43" s="6" t="s">
        <v>96</v>
      </c>
      <c r="H43" s="6" t="s">
        <v>108</v>
      </c>
      <c r="I43" s="13" t="b">
        <f>IF(COUNTIF(Screener[[#This Row],[Debt - Payoff Possible]:[OCF - 1-year]],TRUE)&gt;=7,TRUE,IF(COUNTIF(Screener[[#This Row],[Debt - Payoff Possible]:[OCF - 1-year]],FALSE)&lt;=3,"CHECK",FALSE))</f>
        <v>1</v>
      </c>
      <c r="J43" s="14" t="b">
        <v>1</v>
      </c>
      <c r="K43" s="13" t="b">
        <f>IF(MIN(Screener[[#This Row],[ROIC - 10-year]:[ROIC - 1-year]])&gt;=0.1,TRUE,IF(MIN(Screener[[#This Row],[ROIC - 10-year]:[ROIC - 1-year]])&gt;=0.08,"CHECK",FALSE))</f>
        <v>1</v>
      </c>
      <c r="L43" s="11">
        <v>0.22170000000000001</v>
      </c>
      <c r="M43" s="11">
        <v>0.24879999999999999</v>
      </c>
      <c r="N43" s="11">
        <v>0.30370000000000003</v>
      </c>
      <c r="O43" s="11">
        <v>0.16289999999999999</v>
      </c>
      <c r="P43" s="13" t="b">
        <f>IF(MIN(Screener[[#This Row],[ROIC QuickFS - 10-year]:[ROIC QuickFS - 1-year]])&gt;=0.1,TRUE,IF(MIN(Screener[[#This Row],[ROIC QuickFS - 10-year]:[ROIC QuickFS - 1-year]])&gt;=0.08,"CHECK",FALSE))</f>
        <v>1</v>
      </c>
      <c r="Q43" s="11">
        <v>0.25679999999999997</v>
      </c>
      <c r="R43" s="11">
        <v>0.30819999999999997</v>
      </c>
      <c r="S43" s="11">
        <v>0.41820000000000002</v>
      </c>
      <c r="T43" s="11">
        <v>0.2555</v>
      </c>
      <c r="U43" s="13" t="b">
        <f>IF(MIN(Screener[[#This Row],[Equity - 10-year]:[Equity - 1-year]])&gt;=0.1,TRUE,IF(MIN(Screener[[#This Row],[Equity - 10-year]:[Equity - 1-year]])&gt;=0.08,"CHECK",FALSE))</f>
        <v>1</v>
      </c>
      <c r="V43" s="11"/>
      <c r="W43" s="11">
        <v>0.63200000000000001</v>
      </c>
      <c r="X43" s="11">
        <v>1.0266</v>
      </c>
      <c r="Y43" s="11">
        <v>0.1145</v>
      </c>
      <c r="Z43" s="13" t="b">
        <f>IF(MIN(Screener[[#This Row],[EPS - 10-year]:[EPS - 1-year]])&gt;=0.1,TRUE,IF(MIN(Screener[[#This Row],[EPS - 10-year]:[EPS - 1-year]])&gt;=0.08,"CHECK",FALSE))</f>
        <v>1</v>
      </c>
      <c r="AA43" s="11"/>
      <c r="AB43" s="11">
        <v>1.0204</v>
      </c>
      <c r="AC43" s="11">
        <v>0.93230000000000002</v>
      </c>
      <c r="AD43" s="11">
        <v>0.3836</v>
      </c>
      <c r="AE43" s="13" t="b">
        <f>IF(MIN(Screener[[#This Row],[Sales - 10-year]:[Sales - 1-year]])&gt;=0.1,TRUE,IF(MIN(Screener[[#This Row],[Sales - 10-year]:[Sales - 1-year]])&gt;=0.08,"CHECK",FALSE))</f>
        <v>1</v>
      </c>
      <c r="AF43" s="11"/>
      <c r="AG43" s="11">
        <v>0.6179</v>
      </c>
      <c r="AH43" s="11">
        <v>0.5907</v>
      </c>
      <c r="AI43" s="11">
        <v>0.30170000000000002</v>
      </c>
      <c r="AJ43" s="13" t="b">
        <f>IF(MIN(Screener[[#This Row],[FCF - 10-year]:[FCF - 1-year]])&gt;=0.1,TRUE,IF(MIN(Screener[[#This Row],[FCF - 10-year]:[FCF - 1-year]])&gt;=0.08,"CHECK",FALSE))</f>
        <v>1</v>
      </c>
      <c r="AK43" s="11"/>
      <c r="AL43" s="11">
        <v>0.47870000000000001</v>
      </c>
      <c r="AM43" s="11">
        <v>0.18129999999999999</v>
      </c>
      <c r="AN43" s="11">
        <v>1.0784</v>
      </c>
      <c r="AO43" s="12" t="b">
        <f>IF(MIN(Screener[[#This Row],[OCF - 10-year]:[OCF - 1-year]])&gt;=0.1,TRUE,IF(MIN(Screener[[#This Row],[OCF - 10-year]:[OCF - 1-year]])&gt;=0.08,"CHECK",FALSE))</f>
        <v>1</v>
      </c>
      <c r="AP43" s="11"/>
      <c r="AQ43" s="11">
        <v>0.81789999999999996</v>
      </c>
      <c r="AR43" s="11">
        <v>0.72019999999999995</v>
      </c>
      <c r="AS43" s="11">
        <v>1.2574000000000001</v>
      </c>
    </row>
    <row r="44" spans="1:45" ht="16.5" thickBot="1" x14ac:dyDescent="0.3">
      <c r="A44" s="6" t="s">
        <v>161</v>
      </c>
      <c r="B44" s="10" t="s">
        <v>238</v>
      </c>
      <c r="C44" s="6" t="s">
        <v>221</v>
      </c>
      <c r="D44" s="6" t="s">
        <v>216</v>
      </c>
      <c r="E44" s="6" t="s">
        <v>222</v>
      </c>
      <c r="F44" s="6" t="s">
        <v>97</v>
      </c>
      <c r="G44" s="6" t="s">
        <v>96</v>
      </c>
      <c r="H44" s="6" t="s">
        <v>108</v>
      </c>
      <c r="I44" s="13" t="b">
        <f>IF(COUNTIF(Screener[[#This Row],[Debt - Payoff Possible]:[OCF - 1-year]],TRUE)&gt;=7,TRUE,IF(COUNTIF(Screener[[#This Row],[Debt - Payoff Possible]:[OCF - 1-year]],FALSE)&lt;=3,"CHECK",FALSE))</f>
        <v>0</v>
      </c>
      <c r="J44" s="14" t="b">
        <v>0</v>
      </c>
      <c r="K44" s="13" t="str">
        <f>IF(MIN(Screener[[#This Row],[ROIC - 10-year]:[ROIC - 1-year]])&gt;=0.1,TRUE,IF(MIN(Screener[[#This Row],[ROIC - 10-year]:[ROIC - 1-year]])&gt;=0.08,"CHECK",FALSE))</f>
        <v>CHECK</v>
      </c>
      <c r="L44" s="11">
        <v>0.1009988657626404</v>
      </c>
      <c r="M44" s="11">
        <v>9.8500049935535405E-2</v>
      </c>
      <c r="N44" s="11">
        <v>9.257587954663582E-2</v>
      </c>
      <c r="O44" s="11">
        <v>0.1110057774005743</v>
      </c>
      <c r="P44" s="13" t="b">
        <f>IF(MIN(Screener[[#This Row],[ROIC QuickFS - 10-year]:[ROIC QuickFS - 1-year]])&gt;=0.1,TRUE,IF(MIN(Screener[[#This Row],[ROIC QuickFS - 10-year]:[ROIC QuickFS - 1-year]])&gt;=0.08,"CHECK",FALSE))</f>
        <v>1</v>
      </c>
      <c r="Q44" s="11">
        <v>0.11445</v>
      </c>
      <c r="R44" s="11">
        <v>0.11836000000000001</v>
      </c>
      <c r="S44" s="11">
        <v>0.15060000000000001</v>
      </c>
      <c r="T44" s="11">
        <v>0.1484</v>
      </c>
      <c r="U44" s="13" t="b">
        <f>IF(MIN(Screener[[#This Row],[Equity - 10-year]:[Equity - 1-year]])&gt;=0.1,TRUE,IF(MIN(Screener[[#This Row],[Equity - 10-year]:[Equity - 1-year]])&gt;=0.08,"CHECK",FALSE))</f>
        <v>0</v>
      </c>
      <c r="V44" s="11">
        <v>-1.373485360979609E-2</v>
      </c>
      <c r="W44" s="11">
        <v>5.5476095392270608E-4</v>
      </c>
      <c r="X44" s="11">
        <v>4.7903477948728401E-2</v>
      </c>
      <c r="Y44" s="11">
        <v>4.8078462434980818E-2</v>
      </c>
      <c r="Z44" s="13" t="str">
        <f>IF(MIN(Screener[[#This Row],[EPS - 10-year]:[EPS - 1-year]])&gt;=0.1,TRUE,IF(MIN(Screener[[#This Row],[EPS - 10-year]:[EPS - 1-year]])&gt;=0.08,"CHECK",FALSE))</f>
        <v>CHECK</v>
      </c>
      <c r="AA44" s="11">
        <v>8.842291989017026E-2</v>
      </c>
      <c r="AB44" s="11">
        <v>0.15111499282151211</v>
      </c>
      <c r="AC44" s="11">
        <v>0.34864820387434148</v>
      </c>
      <c r="AD44" s="11">
        <v>0.53475935828876997</v>
      </c>
      <c r="AE44" s="13" t="b">
        <f>IF(MIN(Screener[[#This Row],[Sales - 10-year]:[Sales - 1-year]])&gt;=0.1,TRUE,IF(MIN(Screener[[#This Row],[Sales - 10-year]:[Sales - 1-year]])&gt;=0.08,"CHECK",FALSE))</f>
        <v>0</v>
      </c>
      <c r="AF44" s="11">
        <v>3.4280065125293908E-3</v>
      </c>
      <c r="AG44" s="11">
        <v>8.5025020881679403E-3</v>
      </c>
      <c r="AH44" s="11">
        <v>-6.8236791625376769E-3</v>
      </c>
      <c r="AI44" s="11">
        <v>-3.5360784386824988E-2</v>
      </c>
      <c r="AJ44" s="13" t="b">
        <f>IF(MIN(Screener[[#This Row],[FCF - 10-year]:[FCF - 1-year]])&gt;=0.1,TRUE,IF(MIN(Screener[[#This Row],[FCF - 10-year]:[FCF - 1-year]])&gt;=0.08,"CHECK",FALSE))</f>
        <v>0</v>
      </c>
      <c r="AK44" s="11">
        <v>-3.8272277142443627E-2</v>
      </c>
      <c r="AL44" s="11">
        <v>-8.1012957341233927E-2</v>
      </c>
      <c r="AM44" s="11">
        <v>-0.1018079538638809</v>
      </c>
      <c r="AN44" s="11">
        <v>-0.2446862531737396</v>
      </c>
      <c r="AO44" s="12" t="b">
        <f>IF(MIN(Screener[[#This Row],[OCF - 10-year]:[OCF - 1-year]])&gt;=0.1,TRUE,IF(MIN(Screener[[#This Row],[OCF - 10-year]:[OCF - 1-year]])&gt;=0.08,"CHECK",FALSE))</f>
        <v>0</v>
      </c>
      <c r="AP44" s="11">
        <v>-2.7210467186022162E-2</v>
      </c>
      <c r="AQ44" s="11">
        <v>-5.9251717099380263E-2</v>
      </c>
      <c r="AR44" s="11">
        <v>-8.0499267185673684E-2</v>
      </c>
      <c r="AS44" s="11">
        <v>-0.20465028116509759</v>
      </c>
    </row>
    <row r="45" spans="1:45" ht="16.5" thickBot="1" x14ac:dyDescent="0.3">
      <c r="A45" s="6" t="s">
        <v>162</v>
      </c>
      <c r="B45" s="10" t="s">
        <v>238</v>
      </c>
      <c r="C45" s="6" t="s">
        <v>223</v>
      </c>
      <c r="D45" s="6" t="s">
        <v>99</v>
      </c>
      <c r="E45" s="6" t="s">
        <v>219</v>
      </c>
      <c r="F45" s="6" t="s">
        <v>97</v>
      </c>
      <c r="G45" s="6" t="s">
        <v>96</v>
      </c>
      <c r="H45" s="6" t="s">
        <v>98</v>
      </c>
      <c r="I45" s="13" t="b">
        <f>IF(COUNTIF(Screener[[#This Row],[Debt - Payoff Possible]:[OCF - 1-year]],TRUE)&gt;=7,TRUE,IF(COUNTIF(Screener[[#This Row],[Debt - Payoff Possible]:[OCF - 1-year]],FALSE)&lt;=3,"CHECK",FALSE))</f>
        <v>0</v>
      </c>
      <c r="J45" s="14" t="b">
        <v>0</v>
      </c>
      <c r="K45" s="13" t="b">
        <f>IF(MIN(Screener[[#This Row],[ROIC - 10-year]:[ROIC - 1-year]])&gt;=0.1,TRUE,IF(MIN(Screener[[#This Row],[ROIC - 10-year]:[ROIC - 1-year]])&gt;=0.08,"CHECK",FALSE))</f>
        <v>0</v>
      </c>
      <c r="L45" s="11">
        <v>9.0700000000000003E-2</v>
      </c>
      <c r="M45" s="11">
        <v>3.6700000000000003E-2</v>
      </c>
      <c r="N45" s="11">
        <v>6.1999999999999998E-3</v>
      </c>
      <c r="O45" s="11">
        <v>0.26079999999999998</v>
      </c>
      <c r="P45" s="13" t="b">
        <f>IF(MIN(Screener[[#This Row],[ROIC QuickFS - 10-year]:[ROIC QuickFS - 1-year]])&gt;=0.1,TRUE,IF(MIN(Screener[[#This Row],[ROIC QuickFS - 10-year]:[ROIC QuickFS - 1-year]])&gt;=0.08,"CHECK",FALSE))</f>
        <v>1</v>
      </c>
      <c r="Q45" s="11">
        <v>0.1946</v>
      </c>
      <c r="R45" s="11">
        <v>0.17100000000000001</v>
      </c>
      <c r="S45" s="11">
        <v>0.20300000000000001</v>
      </c>
      <c r="T45" s="11">
        <v>0.43130000000000002</v>
      </c>
      <c r="U45" s="13" t="b">
        <f>IF(MIN(Screener[[#This Row],[Equity - 10-year]:[Equity - 1-year]])&gt;=0.1,TRUE,IF(MIN(Screener[[#This Row],[Equity - 10-year]:[Equity - 1-year]])&gt;=0.08,"CHECK",FALSE))</f>
        <v>0</v>
      </c>
      <c r="V45" s="11">
        <v>-8.3000000000000004E-2</v>
      </c>
      <c r="W45" s="11">
        <v>-0.22700000000000001</v>
      </c>
      <c r="X45" s="11">
        <v>-0.36480000000000001</v>
      </c>
      <c r="Y45" s="11">
        <v>0.31440000000000001</v>
      </c>
      <c r="Z45" s="13" t="b">
        <f>IF(MIN(Screener[[#This Row],[EPS - 10-year]:[EPS - 1-year]])&gt;=0.1,TRUE,IF(MIN(Screener[[#This Row],[EPS - 10-year]:[EPS - 1-year]])&gt;=0.08,"CHECK",FALSE))</f>
        <v>0</v>
      </c>
      <c r="AA45" s="11">
        <v>8.7099999999999997E-2</v>
      </c>
      <c r="AB45" s="11">
        <v>7.0199999999999999E-2</v>
      </c>
      <c r="AC45" s="11">
        <v>0.40210000000000001</v>
      </c>
      <c r="AD45" s="11">
        <v>0.2591</v>
      </c>
      <c r="AE45" s="13" t="b">
        <f>IF(MIN(Screener[[#This Row],[Sales - 10-year]:[Sales - 1-year]])&gt;=0.1,TRUE,IF(MIN(Screener[[#This Row],[Sales - 10-year]:[Sales - 1-year]])&gt;=0.08,"CHECK",FALSE))</f>
        <v>0</v>
      </c>
      <c r="AF45" s="11">
        <v>7.9200000000000007E-2</v>
      </c>
      <c r="AG45" s="11">
        <v>-1.4200000000000001E-2</v>
      </c>
      <c r="AH45" s="11">
        <v>1.8700000000000001E-2</v>
      </c>
      <c r="AI45" s="11">
        <v>-3.0599999999999999E-2</v>
      </c>
      <c r="AJ45" s="13" t="b">
        <f>IF(MIN(Screener[[#This Row],[FCF - 10-year]:[FCF - 1-year]])&gt;=0.1,TRUE,IF(MIN(Screener[[#This Row],[FCF - 10-year]:[FCF - 1-year]])&gt;=0.08,"CHECK",FALSE))</f>
        <v>0</v>
      </c>
      <c r="AK45" s="11">
        <v>5.4800000000000001E-2</v>
      </c>
      <c r="AL45" s="11">
        <v>-1.6E-2</v>
      </c>
      <c r="AM45" s="11">
        <v>5.1999999999999998E-3</v>
      </c>
      <c r="AN45" s="11">
        <v>-0.31130000000000002</v>
      </c>
      <c r="AO45" s="12" t="b">
        <f>IF(MIN(Screener[[#This Row],[OCF - 10-year]:[OCF - 1-year]])&gt;=0.1,TRUE,IF(MIN(Screener[[#This Row],[OCF - 10-year]:[OCF - 1-year]])&gt;=0.08,"CHECK",FALSE))</f>
        <v>0</v>
      </c>
      <c r="AP45" s="11">
        <v>3.6200000000000003E-2</v>
      </c>
      <c r="AQ45" s="11">
        <v>1.09E-2</v>
      </c>
      <c r="AR45" s="11">
        <v>5.1499999999999997E-2</v>
      </c>
      <c r="AS45" s="11">
        <v>-0.20200000000000001</v>
      </c>
    </row>
    <row r="46" spans="1:45" ht="16.5" thickBot="1" x14ac:dyDescent="0.3">
      <c r="A46" s="6" t="s">
        <v>163</v>
      </c>
      <c r="B46" s="10" t="s">
        <v>238</v>
      </c>
      <c r="C46" s="6" t="s">
        <v>224</v>
      </c>
      <c r="D46" s="6" t="s">
        <v>99</v>
      </c>
      <c r="E46" s="6" t="s">
        <v>191</v>
      </c>
      <c r="F46" s="6" t="s">
        <v>97</v>
      </c>
      <c r="G46" s="6" t="s">
        <v>96</v>
      </c>
      <c r="H46" s="6" t="s">
        <v>171</v>
      </c>
      <c r="I46" s="13" t="b">
        <f>IF(COUNTIF(Screener[[#This Row],[Debt - Payoff Possible]:[OCF - 1-year]],TRUE)&gt;=7,TRUE,IF(COUNTIF(Screener[[#This Row],[Debt - Payoff Possible]:[OCF - 1-year]],FALSE)&lt;=3,"CHECK",FALSE))</f>
        <v>0</v>
      </c>
      <c r="J46" s="14" t="b">
        <v>1</v>
      </c>
      <c r="K46" s="13" t="b">
        <f>IF(MIN(Screener[[#This Row],[ROIC - 10-year]:[ROIC - 1-year]])&gt;=0.1,TRUE,IF(MIN(Screener[[#This Row],[ROIC - 10-year]:[ROIC - 1-year]])&gt;=0.08,"CHECK",FALSE))</f>
        <v>0</v>
      </c>
      <c r="L46" s="11">
        <v>-0.15090000000000001</v>
      </c>
      <c r="M46" s="11">
        <v>-0.23219999999999999</v>
      </c>
      <c r="N46" s="11">
        <v>-0.17860000000000001</v>
      </c>
      <c r="O46" s="11">
        <v>-0.161</v>
      </c>
      <c r="P46" s="13" t="b">
        <f>IF(MIN(Screener[[#This Row],[ROIC QuickFS - 10-year]:[ROIC QuickFS - 1-year]])&gt;=0.1,TRUE,IF(MIN(Screener[[#This Row],[ROIC QuickFS - 10-year]:[ROIC QuickFS - 1-year]])&gt;=0.08,"CHECK",FALSE))</f>
        <v>0</v>
      </c>
      <c r="Q46" s="11">
        <v>-1.8551</v>
      </c>
      <c r="R46" s="11">
        <v>-2.2261000000000002</v>
      </c>
      <c r="S46" s="11">
        <v>-2.0453999999999999</v>
      </c>
      <c r="T46" s="11">
        <v>-1.5058</v>
      </c>
      <c r="U46" s="13" t="b">
        <f>IF(MIN(Screener[[#This Row],[Equity - 10-year]:[Equity - 1-year]])&gt;=0.1,TRUE,IF(MIN(Screener[[#This Row],[Equity - 10-year]:[Equity - 1-year]])&gt;=0.08,"CHECK",FALSE))</f>
        <v>0</v>
      </c>
      <c r="V46" s="11"/>
      <c r="W46" s="11">
        <v>0.46029999999999999</v>
      </c>
      <c r="X46" s="11">
        <v>0.58420000000000005</v>
      </c>
      <c r="Y46" s="11">
        <v>-0.13650000000000001</v>
      </c>
      <c r="Z46" s="13" t="b">
        <f>IF(MIN(Screener[[#This Row],[EPS - 10-year]:[EPS - 1-year]])&gt;=0.1,TRUE,IF(MIN(Screener[[#This Row],[EPS - 10-year]:[EPS - 1-year]])&gt;=0.08,"CHECK",FALSE))</f>
        <v>0</v>
      </c>
      <c r="AA46" s="11"/>
      <c r="AB46" s="11">
        <v>0</v>
      </c>
      <c r="AC46" s="11">
        <v>0</v>
      </c>
      <c r="AD46" s="11">
        <v>0</v>
      </c>
      <c r="AE46" s="13" t="b">
        <f>IF(MIN(Screener[[#This Row],[Sales - 10-year]:[Sales - 1-year]])&gt;=0.1,TRUE,IF(MIN(Screener[[#This Row],[Sales - 10-year]:[Sales - 1-year]])&gt;=0.08,"CHECK",FALSE))</f>
        <v>1</v>
      </c>
      <c r="AF46" s="11"/>
      <c r="AG46" s="11">
        <v>0.2109</v>
      </c>
      <c r="AH46" s="11">
        <v>0.2792</v>
      </c>
      <c r="AI46" s="11">
        <v>0.15210000000000001</v>
      </c>
      <c r="AJ46" s="13" t="b">
        <f>IF(MIN(Screener[[#This Row],[FCF - 10-year]:[FCF - 1-year]])&gt;=0.1,TRUE,IF(MIN(Screener[[#This Row],[FCF - 10-year]:[FCF - 1-year]])&gt;=0.08,"CHECK",FALSE))</f>
        <v>0</v>
      </c>
      <c r="AK46" s="11"/>
      <c r="AL46" s="11">
        <v>-0.17430000000000001</v>
      </c>
      <c r="AM46" s="11">
        <v>-0.67359999999999998</v>
      </c>
      <c r="AN46" s="11">
        <v>6.5500000000000003E-2</v>
      </c>
      <c r="AO46" s="12" t="b">
        <f>IF(MIN(Screener[[#This Row],[OCF - 10-year]:[OCF - 1-year]])&gt;=0.1,TRUE,IF(MIN(Screener[[#This Row],[OCF - 10-year]:[OCF - 1-year]])&gt;=0.08,"CHECK",FALSE))</f>
        <v>0</v>
      </c>
      <c r="AP46" s="11"/>
      <c r="AQ46" s="11">
        <v>-0.1915</v>
      </c>
      <c r="AR46" s="11">
        <v>-0.21199999999999999</v>
      </c>
      <c r="AS46" s="11">
        <v>-1.1999999999999999E-3</v>
      </c>
    </row>
    <row r="47" spans="1:45" ht="16.5" thickBot="1" x14ac:dyDescent="0.3">
      <c r="A47" s="6" t="s">
        <v>164</v>
      </c>
      <c r="B47" s="10" t="s">
        <v>238</v>
      </c>
      <c r="C47" s="6" t="s">
        <v>225</v>
      </c>
      <c r="D47" s="6" t="s">
        <v>109</v>
      </c>
      <c r="E47" s="6" t="s">
        <v>110</v>
      </c>
      <c r="F47" s="6" t="s">
        <v>226</v>
      </c>
      <c r="G47" s="6" t="s">
        <v>96</v>
      </c>
      <c r="H47" s="6" t="s">
        <v>98</v>
      </c>
      <c r="I47" s="13" t="b">
        <f>IF(COUNTIF(Screener[[#This Row],[Debt - Payoff Possible]:[OCF - 1-year]],TRUE)&gt;=7,TRUE,IF(COUNTIF(Screener[[#This Row],[Debt - Payoff Possible]:[OCF - 1-year]],FALSE)&lt;=3,"CHECK",FALSE))</f>
        <v>0</v>
      </c>
      <c r="J47" s="14" t="b">
        <v>0</v>
      </c>
      <c r="K47" s="13" t="b">
        <f>IF(MIN(Screener[[#This Row],[ROIC - 10-year]:[ROIC - 1-year]])&gt;=0.1,TRUE,IF(MIN(Screener[[#This Row],[ROIC - 10-year]:[ROIC - 1-year]])&gt;=0.08,"CHECK",FALSE))</f>
        <v>1</v>
      </c>
      <c r="L47" s="11">
        <v>0.11849999999999999</v>
      </c>
      <c r="M47" s="11">
        <v>0.14749999999999999</v>
      </c>
      <c r="N47" s="11">
        <v>0.13600000000000001</v>
      </c>
      <c r="O47" s="11">
        <v>0.1229</v>
      </c>
      <c r="P47" s="13" t="str">
        <f>IF(MIN(Screener[[#This Row],[ROIC QuickFS - 10-year]:[ROIC QuickFS - 1-year]])&gt;=0.1,TRUE,IF(MIN(Screener[[#This Row],[ROIC QuickFS - 10-year]:[ROIC QuickFS - 1-year]])&gt;=0.08,"CHECK",FALSE))</f>
        <v>CHECK</v>
      </c>
      <c r="Q47" s="11">
        <v>0.14080000000000001</v>
      </c>
      <c r="R47" s="11">
        <v>0.16919999999999999</v>
      </c>
      <c r="S47" s="11">
        <v>0.1429</v>
      </c>
      <c r="T47" s="11">
        <v>9.3799999999999994E-2</v>
      </c>
      <c r="U47" s="13" t="b">
        <f>IF(MIN(Screener[[#This Row],[Equity - 10-year]:[Equity - 1-year]])&gt;=0.1,TRUE,IF(MIN(Screener[[#This Row],[Equity - 10-year]:[Equity - 1-year]])&gt;=0.08,"CHECK",FALSE))</f>
        <v>0</v>
      </c>
      <c r="V47" s="11">
        <v>6.13E-2</v>
      </c>
      <c r="W47" s="11">
        <v>9.0300000000000005E-2</v>
      </c>
      <c r="X47" s="11">
        <v>8.8300000000000003E-2</v>
      </c>
      <c r="Y47" s="11">
        <v>-4.9799999999999997E-2</v>
      </c>
      <c r="Z47" s="13" t="b">
        <f>IF(MIN(Screener[[#This Row],[EPS - 10-year]:[EPS - 1-year]])&gt;=0.1,TRUE,IF(MIN(Screener[[#This Row],[EPS - 10-year]:[EPS - 1-year]])&gt;=0.08,"CHECK",FALSE))</f>
        <v>0</v>
      </c>
      <c r="AA47" s="11">
        <v>8.3900000000000002E-2</v>
      </c>
      <c r="AB47" s="11">
        <v>-1.09E-2</v>
      </c>
      <c r="AC47" s="11">
        <v>-0.16969999999999999</v>
      </c>
      <c r="AD47" s="11">
        <v>-0.26100000000000001</v>
      </c>
      <c r="AE47" s="13" t="b">
        <f>IF(MIN(Screener[[#This Row],[Sales - 10-year]:[Sales - 1-year]])&gt;=0.1,TRUE,IF(MIN(Screener[[#This Row],[Sales - 10-year]:[Sales - 1-year]])&gt;=0.08,"CHECK",FALSE))</f>
        <v>0</v>
      </c>
      <c r="AF47" s="11">
        <v>8.7599999999999997E-2</v>
      </c>
      <c r="AG47" s="11">
        <v>8.9300000000000004E-2</v>
      </c>
      <c r="AH47" s="11">
        <v>9.7000000000000003E-2</v>
      </c>
      <c r="AI47" s="11">
        <v>7.9200000000000007E-2</v>
      </c>
      <c r="AJ47" s="13" t="b">
        <f>IF(MIN(Screener[[#This Row],[FCF - 10-year]:[FCF - 1-year]])&gt;=0.1,TRUE,IF(MIN(Screener[[#This Row],[FCF - 10-year]:[FCF - 1-year]])&gt;=0.08,"CHECK",FALSE))</f>
        <v>0</v>
      </c>
      <c r="AK47" s="11">
        <v>1.3308</v>
      </c>
      <c r="AL47" s="11">
        <v>-3.2399999999999998E-2</v>
      </c>
      <c r="AM47" s="11">
        <v>0.17430000000000001</v>
      </c>
      <c r="AN47" s="11">
        <v>0.55430000000000001</v>
      </c>
      <c r="AO47" s="12" t="b">
        <f>IF(MIN(Screener[[#This Row],[OCF - 10-year]:[OCF - 1-year]])&gt;=0.1,TRUE,IF(MIN(Screener[[#This Row],[OCF - 10-year]:[OCF - 1-year]])&gt;=0.08,"CHECK",FALSE))</f>
        <v>0</v>
      </c>
      <c r="AP47" s="11">
        <v>6.1499999999999999E-2</v>
      </c>
      <c r="AQ47" s="11">
        <v>3.2800000000000003E-2</v>
      </c>
      <c r="AR47" s="11">
        <v>1.3899999999999999E-2</v>
      </c>
      <c r="AS47" s="11">
        <v>-5.7700000000000001E-2</v>
      </c>
    </row>
    <row r="48" spans="1:45" ht="16.5" thickBot="1" x14ac:dyDescent="0.3">
      <c r="A48" s="6" t="s">
        <v>165</v>
      </c>
      <c r="B48" s="10" t="s">
        <v>238</v>
      </c>
      <c r="C48" s="6" t="s">
        <v>227</v>
      </c>
      <c r="D48" s="6" t="s">
        <v>112</v>
      </c>
      <c r="E48" s="6" t="s">
        <v>203</v>
      </c>
      <c r="F48" s="6" t="s">
        <v>188</v>
      </c>
      <c r="G48" s="6" t="s">
        <v>96</v>
      </c>
      <c r="H48" s="6" t="s">
        <v>171</v>
      </c>
      <c r="I48" s="13" t="b">
        <f>IF(COUNTIF(Screener[[#This Row],[Debt - Payoff Possible]:[OCF - 1-year]],TRUE)&gt;=7,TRUE,IF(COUNTIF(Screener[[#This Row],[Debt - Payoff Possible]:[OCF - 1-year]],FALSE)&lt;=3,"CHECK",FALSE))</f>
        <v>0</v>
      </c>
      <c r="J48" s="14" t="b">
        <v>1</v>
      </c>
      <c r="K48" s="13" t="b">
        <f>IF(MIN(Screener[[#This Row],[ROIC - 10-year]:[ROIC - 1-year]])&gt;=0.1,TRUE,IF(MIN(Screener[[#This Row],[ROIC - 10-year]:[ROIC - 1-year]])&gt;=0.08,"CHECK",FALSE))</f>
        <v>1</v>
      </c>
      <c r="L48" s="11">
        <v>0.1235</v>
      </c>
      <c r="M48" s="11">
        <v>0.1205</v>
      </c>
      <c r="N48" s="11">
        <v>0.10440000000000001</v>
      </c>
      <c r="O48" s="11">
        <v>0.1003</v>
      </c>
      <c r="P48" s="13" t="b">
        <f>IF(MIN(Screener[[#This Row],[ROIC QuickFS - 10-year]:[ROIC QuickFS - 1-year]])&gt;=0.1,TRUE,IF(MIN(Screener[[#This Row],[ROIC QuickFS - 10-year]:[ROIC QuickFS - 1-year]])&gt;=0.08,"CHECK",FALSE))</f>
        <v>1</v>
      </c>
      <c r="Q48" s="11">
        <v>0.248</v>
      </c>
      <c r="R48" s="11">
        <v>0.27279999999999999</v>
      </c>
      <c r="S48" s="11">
        <v>0.23350000000000001</v>
      </c>
      <c r="T48" s="11">
        <v>0.2414</v>
      </c>
      <c r="U48" s="13" t="str">
        <f>IF(MIN(Screener[[#This Row],[Equity - 10-year]:[Equity - 1-year]])&gt;=0.1,TRUE,IF(MIN(Screener[[#This Row],[Equity - 10-year]:[Equity - 1-year]])&gt;=0.08,"CHECK",FALSE))</f>
        <v>CHECK</v>
      </c>
      <c r="V48" s="11">
        <v>9.6000000000000002E-2</v>
      </c>
      <c r="W48" s="11">
        <v>0.1007</v>
      </c>
      <c r="X48" s="11">
        <v>9.9500000000000005E-2</v>
      </c>
      <c r="Y48" s="11">
        <v>0.1096</v>
      </c>
      <c r="Z48" s="13" t="b">
        <f>IF(MIN(Screener[[#This Row],[EPS - 10-year]:[EPS - 1-year]])&gt;=0.1,TRUE,IF(MIN(Screener[[#This Row],[EPS - 10-year]:[EPS - 1-year]])&gt;=0.08,"CHECK",FALSE))</f>
        <v>0</v>
      </c>
      <c r="AA48" s="11">
        <v>0.1658</v>
      </c>
      <c r="AB48" s="11">
        <v>2.0899999999999998E-2</v>
      </c>
      <c r="AC48" s="11">
        <v>2.76E-2</v>
      </c>
      <c r="AD48" s="11">
        <v>0</v>
      </c>
      <c r="AE48" s="13" t="b">
        <f>IF(MIN(Screener[[#This Row],[Sales - 10-year]:[Sales - 1-year]])&gt;=0.1,TRUE,IF(MIN(Screener[[#This Row],[Sales - 10-year]:[Sales - 1-year]])&gt;=0.08,"CHECK",FALSE))</f>
        <v>0</v>
      </c>
      <c r="AF48" s="11">
        <v>4.8399999999999999E-2</v>
      </c>
      <c r="AG48" s="11">
        <v>3.5799999999999998E-2</v>
      </c>
      <c r="AH48" s="11">
        <v>6.1400000000000003E-2</v>
      </c>
      <c r="AI48" s="11">
        <v>7.3300000000000004E-2</v>
      </c>
      <c r="AJ48" s="13" t="b">
        <f>IF(MIN(Screener[[#This Row],[FCF - 10-year]:[FCF - 1-year]])&gt;=0.1,TRUE,IF(MIN(Screener[[#This Row],[FCF - 10-year]:[FCF - 1-year]])&gt;=0.08,"CHECK",FALSE))</f>
        <v>0</v>
      </c>
      <c r="AK48" s="11">
        <v>8.3000000000000001E-3</v>
      </c>
      <c r="AL48" s="11">
        <v>0.12130000000000001</v>
      </c>
      <c r="AM48" s="11">
        <v>9.4399999999999998E-2</v>
      </c>
      <c r="AN48" s="11">
        <v>0.60460000000000003</v>
      </c>
      <c r="AO48" s="12" t="b">
        <f>IF(MIN(Screener[[#This Row],[OCF - 10-year]:[OCF - 1-year]])&gt;=0.1,TRUE,IF(MIN(Screener[[#This Row],[OCF - 10-year]:[OCF - 1-year]])&gt;=0.08,"CHECK",FALSE))</f>
        <v>0</v>
      </c>
      <c r="AP48" s="11">
        <v>2.7699999999999999E-2</v>
      </c>
      <c r="AQ48" s="11">
        <v>5.8299999999999998E-2</v>
      </c>
      <c r="AR48" s="11">
        <v>4.0800000000000003E-2</v>
      </c>
      <c r="AS48" s="11">
        <v>0.40799999999999997</v>
      </c>
    </row>
    <row r="49" spans="1:45" ht="16.5" thickBot="1" x14ac:dyDescent="0.3">
      <c r="A49" s="6" t="s">
        <v>166</v>
      </c>
      <c r="B49" s="10" t="s">
        <v>238</v>
      </c>
      <c r="C49" s="6" t="s">
        <v>228</v>
      </c>
      <c r="D49" s="6" t="s">
        <v>99</v>
      </c>
      <c r="E49" s="6" t="s">
        <v>104</v>
      </c>
      <c r="F49" s="6" t="s">
        <v>188</v>
      </c>
      <c r="G49" s="6" t="s">
        <v>96</v>
      </c>
      <c r="H49" s="6" t="s">
        <v>108</v>
      </c>
      <c r="I49" s="13" t="b">
        <f>IF(COUNTIF(Screener[[#This Row],[Debt - Payoff Possible]:[OCF - 1-year]],TRUE)&gt;=7,TRUE,IF(COUNTIF(Screener[[#This Row],[Debt - Payoff Possible]:[OCF - 1-year]],FALSE)&lt;=3,"CHECK",FALSE))</f>
        <v>0</v>
      </c>
      <c r="J49" s="14" t="b">
        <v>1</v>
      </c>
      <c r="K49" s="13" t="b">
        <f>IF(MIN(Screener[[#This Row],[ROIC - 10-year]:[ROIC - 1-year]])&gt;=0.1,TRUE,IF(MIN(Screener[[#This Row],[ROIC - 10-year]:[ROIC - 1-year]])&gt;=0.08,"CHECK",FALSE))</f>
        <v>0</v>
      </c>
      <c r="L49" s="11">
        <v>2.7799999999999998E-2</v>
      </c>
      <c r="M49" s="11">
        <v>9.2600000000000002E-2</v>
      </c>
      <c r="N49" s="11">
        <v>0.11799999999999999</v>
      </c>
      <c r="O49" s="11">
        <v>0.10340000000000001</v>
      </c>
      <c r="P49" s="13" t="b">
        <f>IF(MIN(Screener[[#This Row],[ROIC QuickFS - 10-year]:[ROIC QuickFS - 1-year]])&gt;=0.1,TRUE,IF(MIN(Screener[[#This Row],[ROIC QuickFS - 10-year]:[ROIC QuickFS - 1-year]])&gt;=0.08,"CHECK",FALSE))</f>
        <v>0</v>
      </c>
      <c r="Q49" s="11">
        <v>2.1999999999999999E-2</v>
      </c>
      <c r="R49" s="11">
        <v>9.8599999999999993E-2</v>
      </c>
      <c r="S49" s="11">
        <v>0.1439</v>
      </c>
      <c r="T49" s="11">
        <v>0.1099</v>
      </c>
      <c r="U49" s="13" t="b">
        <f>IF(MIN(Screener[[#This Row],[Equity - 10-year]:[Equity - 1-year]])&gt;=0.1,TRUE,IF(MIN(Screener[[#This Row],[Equity - 10-year]:[Equity - 1-year]])&gt;=0.08,"CHECK",FALSE))</f>
        <v>0</v>
      </c>
      <c r="V49" s="11">
        <v>-2.3999999999999998E-3</v>
      </c>
      <c r="W49" s="11">
        <v>0.10059999999999999</v>
      </c>
      <c r="X49" s="11">
        <v>0.17810000000000001</v>
      </c>
      <c r="Y49" s="11">
        <v>0.14299999999999999</v>
      </c>
      <c r="Z49" s="13" t="b">
        <f>IF(MIN(Screener[[#This Row],[EPS - 10-year]:[EPS - 1-year]])&gt;=0.1,TRUE,IF(MIN(Screener[[#This Row],[EPS - 10-year]:[EPS - 1-year]])&gt;=0.08,"CHECK",FALSE))</f>
        <v>0</v>
      </c>
      <c r="AA49" s="11">
        <v>1.2678</v>
      </c>
      <c r="AB49" s="11">
        <v>1.4115</v>
      </c>
      <c r="AC49" s="11">
        <v>1.0456000000000001</v>
      </c>
      <c r="AD49" s="11">
        <v>-0.32700000000000001</v>
      </c>
      <c r="AE49" s="13" t="b">
        <f>IF(MIN(Screener[[#This Row],[Sales - 10-year]:[Sales - 1-year]])&gt;=0.1,TRUE,IF(MIN(Screener[[#This Row],[Sales - 10-year]:[Sales - 1-year]])&gt;=0.08,"CHECK",FALSE))</f>
        <v>0</v>
      </c>
      <c r="AF49" s="11">
        <v>-3.5999999999999999E-3</v>
      </c>
      <c r="AG49" s="11">
        <v>2.3699999999999999E-2</v>
      </c>
      <c r="AH49" s="11">
        <v>4.4400000000000002E-2</v>
      </c>
      <c r="AI49" s="11">
        <v>-1.6E-2</v>
      </c>
      <c r="AJ49" s="13" t="b">
        <f>IF(MIN(Screener[[#This Row],[FCF - 10-year]:[FCF - 1-year]])&gt;=0.1,TRUE,IF(MIN(Screener[[#This Row],[FCF - 10-year]:[FCF - 1-year]])&gt;=0.08,"CHECK",FALSE))</f>
        <v>0</v>
      </c>
      <c r="AK49" s="11">
        <v>2.86E-2</v>
      </c>
      <c r="AL49" s="11">
        <v>0.12529999999999999</v>
      </c>
      <c r="AM49" s="11">
        <v>0.25979999999999998</v>
      </c>
      <c r="AN49" s="11">
        <v>-5.1000000000000004E-3</v>
      </c>
      <c r="AO49" s="12" t="b">
        <f>IF(MIN(Screener[[#This Row],[OCF - 10-year]:[OCF - 1-year]])&gt;=0.1,TRUE,IF(MIN(Screener[[#This Row],[OCF - 10-year]:[OCF - 1-year]])&gt;=0.08,"CHECK",FALSE))</f>
        <v>0</v>
      </c>
      <c r="AP49" s="11">
        <v>2.2200000000000001E-2</v>
      </c>
      <c r="AQ49" s="11">
        <v>0.1487</v>
      </c>
      <c r="AR49" s="11">
        <v>0.20569999999999999</v>
      </c>
      <c r="AS49" s="11">
        <v>0.1069</v>
      </c>
    </row>
    <row r="50" spans="1:45" ht="16.5" thickBot="1" x14ac:dyDescent="0.3">
      <c r="A50" s="6" t="s">
        <v>167</v>
      </c>
      <c r="B50" s="10" t="s">
        <v>238</v>
      </c>
      <c r="C50" s="6" t="s">
        <v>229</v>
      </c>
      <c r="D50" s="6" t="s">
        <v>99</v>
      </c>
      <c r="E50" s="6" t="s">
        <v>191</v>
      </c>
      <c r="F50" s="6" t="s">
        <v>226</v>
      </c>
      <c r="G50" s="6" t="s">
        <v>96</v>
      </c>
      <c r="H50" s="6" t="s">
        <v>98</v>
      </c>
      <c r="I50" s="13" t="b">
        <f>IF(COUNTIF(Screener[[#This Row],[Debt - Payoff Possible]:[OCF - 1-year]],TRUE)&gt;=7,TRUE,IF(COUNTIF(Screener[[#This Row],[Debt - Payoff Possible]:[OCF - 1-year]],FALSE)&lt;=3,"CHECK",FALSE))</f>
        <v>0</v>
      </c>
      <c r="J50" s="14" t="b">
        <v>0</v>
      </c>
      <c r="K50" s="13" t="b">
        <f>IF(MIN(Screener[[#This Row],[ROIC - 10-year]:[ROIC - 1-year]])&gt;=0.1,TRUE,IF(MIN(Screener[[#This Row],[ROIC - 10-year]:[ROIC - 1-year]])&gt;=0.08,"CHECK",FALSE))</f>
        <v>1</v>
      </c>
      <c r="L50" s="11">
        <v>0.2235</v>
      </c>
      <c r="M50" s="11">
        <v>0.1701</v>
      </c>
      <c r="N50" s="11">
        <v>0.18959999999999999</v>
      </c>
      <c r="O50" s="11">
        <v>0.22550000000000001</v>
      </c>
      <c r="P50" s="13" t="b">
        <f>IF(MIN(Screener[[#This Row],[ROIC QuickFS - 10-year]:[ROIC QuickFS - 1-year]])&gt;=0.1,TRUE,IF(MIN(Screener[[#This Row],[ROIC QuickFS - 10-year]:[ROIC QuickFS - 1-year]])&gt;=0.08,"CHECK",FALSE))</f>
        <v>1</v>
      </c>
      <c r="Q50" s="11">
        <v>0.32450000000000001</v>
      </c>
      <c r="R50" s="11">
        <v>0.2417</v>
      </c>
      <c r="S50" s="11">
        <v>0.32369999999999999</v>
      </c>
      <c r="T50" s="11">
        <v>0.2366</v>
      </c>
      <c r="U50" s="13" t="b">
        <f>IF(MIN(Screener[[#This Row],[Equity - 10-year]:[Equity - 1-year]])&gt;=0.1,TRUE,IF(MIN(Screener[[#This Row],[Equity - 10-year]:[Equity - 1-year]])&gt;=0.08,"CHECK",FALSE))</f>
        <v>0</v>
      </c>
      <c r="V50" s="11">
        <v>2.4400000000000002E-2</v>
      </c>
      <c r="W50" s="11">
        <v>-5.8599999999999999E-2</v>
      </c>
      <c r="X50" s="11">
        <v>0.1391</v>
      </c>
      <c r="Y50" s="11">
        <v>-0.1111</v>
      </c>
      <c r="Z50" s="13" t="b">
        <f>IF(MIN(Screener[[#This Row],[EPS - 10-year]:[EPS - 1-year]])&gt;=0.1,TRUE,IF(MIN(Screener[[#This Row],[EPS - 10-year]:[EPS - 1-year]])&gt;=0.08,"CHECK",FALSE))</f>
        <v>0</v>
      </c>
      <c r="AA50" s="11">
        <v>1.9E-2</v>
      </c>
      <c r="AB50" s="11">
        <v>-6.3500000000000001E-2</v>
      </c>
      <c r="AC50" s="11">
        <v>0.1368</v>
      </c>
      <c r="AD50" s="11">
        <v>-0.4632</v>
      </c>
      <c r="AE50" s="13" t="b">
        <f>IF(MIN(Screener[[#This Row],[Sales - 10-year]:[Sales - 1-year]])&gt;=0.1,TRUE,IF(MIN(Screener[[#This Row],[Sales - 10-year]:[Sales - 1-year]])&gt;=0.08,"CHECK",FALSE))</f>
        <v>0</v>
      </c>
      <c r="AF50" s="11">
        <v>-8.0999999999999996E-3</v>
      </c>
      <c r="AG50" s="11">
        <v>-5.2200000000000003E-2</v>
      </c>
      <c r="AH50" s="11">
        <v>-8.2000000000000007E-3</v>
      </c>
      <c r="AI50" s="11">
        <v>1.15E-2</v>
      </c>
      <c r="AJ50" s="13" t="b">
        <f>IF(MIN(Screener[[#This Row],[FCF - 10-year]:[FCF - 1-year]])&gt;=0.1,TRUE,IF(MIN(Screener[[#This Row],[FCF - 10-year]:[FCF - 1-year]])&gt;=0.08,"CHECK",FALSE))</f>
        <v>0</v>
      </c>
      <c r="AK50" s="11">
        <v>-1.4999999999999999E-2</v>
      </c>
      <c r="AL50" s="11">
        <v>-9.9000000000000005E-2</v>
      </c>
      <c r="AM50" s="11">
        <v>-8.6400000000000005E-2</v>
      </c>
      <c r="AN50" s="11">
        <v>-0.1328</v>
      </c>
      <c r="AO50" s="12" t="b">
        <f>IF(MIN(Screener[[#This Row],[OCF - 10-year]:[OCF - 1-year]])&gt;=0.1,TRUE,IF(MIN(Screener[[#This Row],[OCF - 10-year]:[OCF - 1-year]])&gt;=0.08,"CHECK",FALSE))</f>
        <v>0</v>
      </c>
      <c r="AP50" s="11">
        <v>-1.1900000000000001E-2</v>
      </c>
      <c r="AQ50" s="11">
        <v>-8.3500000000000005E-2</v>
      </c>
      <c r="AR50" s="11">
        <v>-3.6499999999999998E-2</v>
      </c>
      <c r="AS50" s="11">
        <v>-2.6700000000000002E-2</v>
      </c>
    </row>
    <row r="51" spans="1:45" ht="16.5" thickBot="1" x14ac:dyDescent="0.3">
      <c r="A51" s="7" t="s">
        <v>168</v>
      </c>
      <c r="B51" s="10" t="s">
        <v>238</v>
      </c>
      <c r="C51" s="7" t="s">
        <v>230</v>
      </c>
      <c r="D51" s="7" t="s">
        <v>231</v>
      </c>
      <c r="E51" s="7" t="s">
        <v>232</v>
      </c>
      <c r="F51" s="7" t="s">
        <v>97</v>
      </c>
      <c r="G51" s="7" t="s">
        <v>96</v>
      </c>
      <c r="H51" s="7" t="s">
        <v>108</v>
      </c>
      <c r="I51" s="13" t="b">
        <f>IF(COUNTIF(Screener[[#This Row],[Debt - Payoff Possible]:[OCF - 1-year]],TRUE)&gt;=7,TRUE,IF(COUNTIF(Screener[[#This Row],[Debt - Payoff Possible]:[OCF - 1-year]],FALSE)&lt;=3,"CHECK",FALSE))</f>
        <v>0</v>
      </c>
      <c r="J51" s="14" t="b">
        <v>1</v>
      </c>
      <c r="K51" s="13" t="b">
        <f>IF(MIN(Screener[[#This Row],[ROIC - 10-year]:[ROIC - 1-year]])&gt;=0.1,TRUE,IF(MIN(Screener[[#This Row],[ROIC - 10-year]:[ROIC - 1-year]])&gt;=0.08,"CHECK",FALSE))</f>
        <v>1</v>
      </c>
      <c r="L51" s="11">
        <v>0.13120000000000001</v>
      </c>
      <c r="M51" s="11">
        <v>0.12139999999999999</v>
      </c>
      <c r="N51" s="11">
        <v>0.1142</v>
      </c>
      <c r="O51" s="11">
        <v>0.11849999999999999</v>
      </c>
      <c r="P51" s="13" t="b">
        <f>IF(MIN(Screener[[#This Row],[ROIC QuickFS - 10-year]:[ROIC QuickFS - 1-year]])&gt;=0.1,TRUE,IF(MIN(Screener[[#This Row],[ROIC QuickFS - 10-year]:[ROIC QuickFS - 1-year]])&gt;=0.08,"CHECK",FALSE))</f>
        <v>0</v>
      </c>
      <c r="Q51" s="11">
        <v>0.11070000000000001</v>
      </c>
      <c r="R51" s="11">
        <v>9.1800000000000007E-2</v>
      </c>
      <c r="S51" s="11">
        <v>7.8700000000000006E-2</v>
      </c>
      <c r="T51" s="11">
        <v>0.1042</v>
      </c>
      <c r="U51" s="13" t="b">
        <f>IF(MIN(Screener[[#This Row],[Equity - 10-year]:[Equity - 1-year]])&gt;=0.1,TRUE,IF(MIN(Screener[[#This Row],[Equity - 10-year]:[Equity - 1-year]])&gt;=0.08,"CHECK",FALSE))</f>
        <v>0</v>
      </c>
      <c r="V51" s="11">
        <v>4.2599999999999999E-2</v>
      </c>
      <c r="W51" s="11">
        <v>1.4200000000000001E-2</v>
      </c>
      <c r="X51" s="11">
        <v>3.1899999999999998E-2</v>
      </c>
      <c r="Y51" s="11">
        <v>5.16E-2</v>
      </c>
      <c r="Z51" s="13" t="b">
        <f>IF(MIN(Screener[[#This Row],[EPS - 10-year]:[EPS - 1-year]])&gt;=0.1,TRUE,IF(MIN(Screener[[#This Row],[EPS - 10-year]:[EPS - 1-year]])&gt;=0.08,"CHECK",FALSE))</f>
        <v>0</v>
      </c>
      <c r="AA51" s="11">
        <v>3.4099999999999998E-2</v>
      </c>
      <c r="AB51" s="11">
        <v>5.4999999999999997E-3</v>
      </c>
      <c r="AC51" s="11">
        <v>5.8200000000000002E-2</v>
      </c>
      <c r="AD51" s="11">
        <v>1.2965</v>
      </c>
      <c r="AE51" s="13" t="b">
        <f>IF(MIN(Screener[[#This Row],[Sales - 10-year]:[Sales - 1-year]])&gt;=0.1,TRUE,IF(MIN(Screener[[#This Row],[Sales - 10-year]:[Sales - 1-year]])&gt;=0.08,"CHECK",FALSE))</f>
        <v>0</v>
      </c>
      <c r="AF51" s="11">
        <v>2.53E-2</v>
      </c>
      <c r="AG51" s="11">
        <v>1.5299999999999999E-2</v>
      </c>
      <c r="AH51" s="11">
        <v>2.5499999999999998E-2</v>
      </c>
      <c r="AI51" s="11">
        <v>1.8599999999999998E-2</v>
      </c>
      <c r="AJ51" s="13" t="b">
        <f>IF(MIN(Screener[[#This Row],[FCF - 10-year]:[FCF - 1-year]])&gt;=0.1,TRUE,IF(MIN(Screener[[#This Row],[FCF - 10-year]:[FCF - 1-year]])&gt;=0.08,"CHECK",FALSE))</f>
        <v>0</v>
      </c>
      <c r="AK51" s="11">
        <v>-1.2999999999999999E-3</v>
      </c>
      <c r="AL51" s="11">
        <v>-2.5899999999999999E-2</v>
      </c>
      <c r="AM51" s="11">
        <v>-0.1158</v>
      </c>
      <c r="AN51" s="11">
        <v>-0.17050000000000001</v>
      </c>
      <c r="AO51" s="12" t="b">
        <f>IF(MIN(Screener[[#This Row],[OCF - 10-year]:[OCF - 1-year]])&gt;=0.1,TRUE,IF(MIN(Screener[[#This Row],[OCF - 10-year]:[OCF - 1-year]])&gt;=0.08,"CHECK",FALSE))</f>
        <v>0</v>
      </c>
      <c r="AP51" s="11">
        <v>-3.8999999999999998E-3</v>
      </c>
      <c r="AQ51" s="11">
        <v>-2.4299999999999999E-2</v>
      </c>
      <c r="AR51" s="11">
        <v>-7.2700000000000001E-2</v>
      </c>
      <c r="AS51" s="11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51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51 AJ8:AJ51 AE8:AE51 Z8:Z51 U8:U51 P8:P51 K8:K51 I8:I51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51">
    <cfRule type="cellIs" dxfId="3" priority="22" operator="equal">
      <formula>"Hold"</formula>
    </cfRule>
  </conditionalFormatting>
  <conditionalFormatting sqref="V8:Y51 AA8:AD51 AF8:AI51 AK8:AN51 AP8:AS51 Q8:T51 L8:O51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2021-01-29T21:09:53Z</dcterms:modified>
</cp:coreProperties>
</file>