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3DED9C93-B3C0-4167-93E9-5A236AAD7B7E}" xr6:coauthVersionLast="46" xr6:coauthVersionMax="46" xr10:uidLastSave="{00000000-0000-0000-0000-000000000000}"/>
  <bookViews>
    <workbookView xWindow="-120" yWindow="-120" windowWidth="38640" windowHeight="21240" tabRatio="500" xr2:uid="{00000000-000D-0000-FFFF-FFFF00000000}"/>
  </bookViews>
  <sheets>
    <sheet name="Portfolio" sheetId="4" r:id="rId1"/>
    <sheet name="Portfolio_Backend" sheetId="9" r:id="rId2"/>
    <sheet name="Portfolio_Log" sheetId="7" r:id="rId3"/>
    <sheet name="Watchlist" sheetId="6" r:id="rId4"/>
    <sheet name="Screener" sheetId="1" r:id="rId5"/>
    <sheet name="xlwings.conf" sheetId="2" state="hidden" r:id="rId6"/>
  </sheets>
  <functionGroups builtInGroupCount="19"/>
  <definedNames>
    <definedName name="active_shares">Portfolio_Backend!$C$26</definedName>
    <definedName name="av_vol_10_day">Portfolio_Backend!$C$6</definedName>
    <definedName name="av_vol_3_months">Portfolio_Backend!$C$7</definedName>
    <definedName name="capital">Portfolio_Backend!$C$15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Portfolio_Backend!$C$16</definedName>
    <definedName name="exchange">Portfolio_Backend!$C$11</definedName>
    <definedName name="industry">Portfolio_Backend!$C$13</definedName>
    <definedName name="invested_capital">Portfolio_Backend!$C$29</definedName>
    <definedName name="investment_start_date">Portfolio_Backend!$C$23</definedName>
    <definedName name="last_buy_date">Portfolio_Backend!$C$24</definedName>
    <definedName name="last_market_close_date">Portfolio_Backend!$C$19</definedName>
    <definedName name="last_quarter_report_date">Portfolio_Backend!$C$22</definedName>
    <definedName name="last_sell_date">Portfolio_Backend!$C$25</definedName>
    <definedName name="last_update">Portfolio_Backend!$C$18</definedName>
    <definedName name="ma_10_day">Portfolio_Backend!$C$40</definedName>
    <definedName name="macd_8_17_9">Portfolio_Backend!$C$41</definedName>
    <definedName name="market_cap">Portfolio_Backend!$C$2</definedName>
    <definedName name="meaning_type">Portfolio_Backend!$C$43</definedName>
    <definedName name="min_eps_growth">Portfolio_Backend!$C$48</definedName>
    <definedName name="min_equity_growth">Portfolio_Backend!$C$47</definedName>
    <definedName name="min_fcf_growth">Portfolio_Backend!$C$50</definedName>
    <definedName name="min_ocf_growth">Portfolio_Backend!$C$51</definedName>
    <definedName name="min_roe">Portfolio_Backend!$C$46</definedName>
    <definedName name="min_roic">Portfolio_Backend!$C$45</definedName>
    <definedName name="min_sales_growth">Portfolio_Backend!$C$49</definedName>
    <definedName name="moat_type">Portfolio_Backend!$C$44</definedName>
    <definedName name="mos_price">Portfolio_Backend!$C$54</definedName>
    <definedName name="next_market_open_date">Portfolio_Backend!$C$20</definedName>
    <definedName name="next_quarter_report_date">Portfolio_Backend!$C$21</definedName>
    <definedName name="next_year_report_date">Portfolio_Backend!$C$22</definedName>
    <definedName name="payback_price">Portfolio_Backend!$C$56</definedName>
    <definedName name="payback_time">Portfolio_Backend!$C$55</definedName>
    <definedName name="payoff_debt_possible">Portfolio_Backend!$C$52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Portfolio_Backend!$C$33</definedName>
    <definedName name="profits_2quarter">Portfolio_Backend!$C$34</definedName>
    <definedName name="profits_3quarter">Portfolio_Backend!$C$35</definedName>
    <definedName name="profits_4quarter">Portfolio_Backend!$C$36</definedName>
    <definedName name="profits_annual">Portfolio_Backend!$C$32</definedName>
    <definedName name="profits_day">Portfolio_Backend!$C$39</definedName>
    <definedName name="profits_month">Portfolio_Backend!$C$37</definedName>
    <definedName name="profits_week">Portfolio_Backend!$C$38</definedName>
    <definedName name="sector">Portfolio_Backend!$C$12</definedName>
    <definedName name="Selected_Ticker">#REF!</definedName>
    <definedName name="shares_bought">Portfolio_Backend!$C$27</definedName>
    <definedName name="shares_bought_value">Portfolio_Backend!$C$30</definedName>
    <definedName name="shares_sold">Portfolio_Backend!$C$28</definedName>
    <definedName name="shares_sold_value">Portfolio_Backend!$C$31</definedName>
    <definedName name="sticker_price">Portfolio_Backend!$C$53</definedName>
    <definedName name="stoch_14_5">Portfolio_Backend!$C$42</definedName>
    <definedName name="stock_price">Portfolio_Backend!$C$14</definedName>
    <definedName name="ticker_combobox">Portfolio!$E$4</definedName>
    <definedName name="Ticker_Selection">#REF!</definedName>
    <definedName name="today">Portfolio_Backend!$C$17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4" l="1"/>
  <c r="K12" i="4"/>
  <c r="C17" i="9" l="1"/>
  <c r="K18" i="4" s="1"/>
  <c r="Q21" i="4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<sst xmlns="http://schemas.openxmlformats.org/spreadsheetml/2006/main" count="752" uniqueCount="373">
  <si>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</si>
  <si>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</si>
  <si>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</si>
  <si>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</si>
  <si>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</si>
  <si>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</si>
  <si>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</si>
  <si>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</si>
  <si>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</si>
  <si>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</si>
  <si>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</si>
  <si>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</si>
  <si>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</si>
  <si>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</si>
  <si>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</si>
  <si>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</si>
  <si>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</si>
  <si>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</si>
  <si>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</si>
  <si>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</si>
  <si>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</si>
  <si>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</si>
  <si>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</si>
  <si>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</si>
  <si>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</si>
  <si>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</si>
  <si>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</si>
  <si>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</si>
  <si>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</si>
  <si>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</si>
  <si>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</si>
  <si>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</si>
  <si>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</si>
  <si>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</si>
  <si>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</si>
  <si>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</si>
  <si>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</si>
  <si>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</si>
  <si>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</si>
  <si>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</si>
  <si>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</si>
  <si>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</si>
  <si>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</si>
  <si>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</si>
  <si>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</si>
  <si>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</si>
  <si>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</si>
  <si>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</si>
  <si>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</si>
  <si>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</si>
  <si>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</si>
  <si>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</si>
  <si>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</si>
  <si>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</si>
  <si>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</si>
  <si>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</si>
  <si>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</si>
  <si>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</si>
  <si>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</si>
  <si>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</si>
  <si>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</si>
  <si>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</si>
  <si>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</si>
  <si>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</si>
  <si>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</si>
  <si>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</si>
  <si>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</si>
  <si>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</si>
  <si>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</si>
  <si>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</si>
  <si>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</si>
  <si>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</si>
  <si>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</si>
  <si>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</si>
  <si>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</si>
  <si>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</si>
  <si>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</si>
  <si>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</si>
  <si>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</si>
  <si>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</si>
  <si>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</si>
  <si>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</si>
  <si>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</si>
  <si>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</si>
  <si>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</si>
  <si>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</si>
  <si>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</si>
  <si>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</si>
  <si>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</si>
  <si>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</si>
  <si>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</si>
  <si>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</si>
  <si>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</si>
  <si>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</si>
  <si>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</si>
  <si>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</si>
  <si>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</si>
  <si>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</si>
  <si>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</si>
  <si>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</si>
  <si>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</si>
  <si>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</si>
  <si>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</si>
  <si>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</si>
  <si>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</si>
  <si>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</si>
  <si>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</si>
  <si>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</si>
  <si>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</si>
  <si>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</si>
  <si>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</si>
  <si>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</si>
  <si>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</si>
  <si>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</si>
  <si>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</si>
  <si>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</si>
  <si>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</si>
  <si>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</si>
  <si>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</si>
  <si>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</si>
  <si>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</si>
  <si>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</si>
  <si>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</si>
  <si>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</si>
  <si>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</si>
  <si>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</si>
  <si>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</si>
  <si>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</si>
  <si>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</si>
  <si>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</si>
  <si>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</si>
  <si>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</si>
  <si>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</si>
  <si>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</si>
  <si>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</si>
  <si>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</si>
  <si>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</si>
  <si>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</si>
  <si>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</si>
  <si>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</si>
  <si>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</si>
  <si>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</si>
  <si>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</si>
  <si>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</si>
  <si>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</si>
  <si>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</si>
  <si>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</si>
  <si>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</si>
  <si>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</si>
  <si>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</si>
  <si>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</si>
  <si>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</si>
  <si>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</si>
  <si>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</si>
  <si>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</si>
  <si>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</si>
  <si>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</si>
  <si>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</si>
  <si>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</si>
  <si>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</si>
  <si>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</si>
  <si>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</si>
  <si>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</si>
  <si>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</si>
  <si>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</si>
  <si>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</si>
  <si>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</si>
  <si>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</si>
  <si>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</si>
  <si>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</si>
  <si>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</si>
  <si>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</si>
  <si>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</si>
  <si>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</si>
  <si>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</si>
  <si>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</si>
  <si>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</si>
  <si>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</si>
  <si>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</si>
  <si>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</si>
  <si>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</si>
  <si>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</si>
  <si>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</si>
  <si>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</si>
  <si>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</si>
  <si>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</si>
  <si>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</si>
  <si>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</si>
  <si>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</si>
  <si>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</si>
  <si>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</si>
  <si>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</si>
  <si>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</si>
  <si>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</si>
  <si>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</si>
  <si>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</si>
  <si>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</si>
  <si>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</si>
  <si>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</si>
  <si>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</si>
  <si>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</si>
  <si>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</si>
  <si>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</si>
  <si>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</si>
  <si>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</si>
  <si>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</si>
  <si>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</si>
  <si>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</si>
  <si>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</si>
  <si>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</si>
  <si>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</si>
  <si>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</si>
  <si>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</si>
  <si>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</si>
  <si>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</si>
  <si>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</si>
  <si>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</si>
  <si>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</si>
  <si>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</si>
  <si>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</si>
  <si>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</si>
  <si>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</si>
  <si>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</si>
  <si>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</si>
  <si>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</si>
  <si>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</si>
  <si>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</si>
  <si>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</si>
  <si>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</si>
  <si>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</si>
  <si>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</si>
  <si>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</si>
  <si>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</si>
  <si>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</si>
  <si>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</si>
  <si>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</si>
  <si>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</si>
  <si>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</si>
  <si>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</si>
  <si>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</si>
  <si>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</si>
  <si>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</si>
  <si>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</si>
  <si>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</si>
  <si>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</si>
  <si>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</si>
  <si>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</si>
  <si>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</si>
  <si>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</si>
  <si>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</si>
  <si>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</si>
  <si>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</si>
  <si>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</si>
  <si>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</si>
  <si>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</si>
  <si>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</si>
  <si>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</si>
  <si>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</si>
  <si>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</si>
  <si>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</si>
  <si>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</si>
  <si>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</si>
  <si>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</si>
  <si>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</si>
  <si>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</si>
  <si>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</si>
  <si>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</si>
  <si>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</si>
  <si>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</si>
  <si>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</si>
  <si>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</si>
  <si>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</si>
  <si>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</si>
  <si>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</si>
  <si>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</si>
  <si>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</si>
  <si>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</si>
  <si>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</si>
  <si>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</si>
  <si>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</si>
  <si>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</si>
  <si>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</si>
  <si>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</si>
  <si>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</si>
  <si>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</si>
  <si>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</si>
  <si>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</si>
  <si>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</si>
  <si>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</si>
  <si>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</si>
  <si>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</si>
  <si>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</si>
  <si>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</si>
  <si>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</si>
  <si>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</si>
  <si>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</si>
  <si>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</si>
  <si>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</si>
  <si>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</si>
  <si>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</si>
  <si>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</si>
  <si>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</si>
  <si>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</si>
  <si>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</si>
  <si>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</si>
  <si>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</si>
  <si>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</si>
  <si>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</si>
  <si>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</si>
  <si>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</si>
  <si>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</si>
  <si>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</si>
  <si>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</si>
  <si>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</si>
  <si>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</si>
  <si>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</si>
  <si>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</si>
  <si>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</si>
  <si>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</si>
  <si>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</si>
  <si>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</si>
  <si>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</si>
  <si>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</si>
  <si>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</si>
  <si>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</si>
  <si>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</si>
  <si>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</si>
  <si>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</si>
  <si>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</si>
  <si>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</si>
  <si>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</si>
  <si>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</si>
  <si>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</si>
  <si>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</si>
  <si>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</si>
  <si>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</si>
  <si>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</si>
  <si>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</si>
  <si>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</si>
  <si>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</si>
  <si>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</si>
  <si>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</si>
  <si>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</si>
  <si>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</si>
  <si>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</si>
  <si>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</si>
  <si>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</si>
  <si>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</si>
  <si>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</si>
  <si>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</si>
  <si>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</si>
  <si>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</si>
  <si>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</si>
  <si>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</si>
  <si>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</si>
  <si>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</si>
  <si>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</si>
  <si>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</si>
  <si>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</si>
  <si>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</si>
  <si>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</si>
  <si>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</si>
  <si>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</si>
  <si>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</si>
  <si>
    <t>NasdaqGS</t>
  </si>
  <si>
    <t>13/02/2021</t>
  </si>
  <si>
    <t>Last Q. Report Date:</t>
  </si>
  <si>
    <t>last_quarter_report_date</t>
  </si>
  <si>
    <t>Engineering</t>
  </si>
  <si>
    <t>Brand</t>
  </si>
  <si>
    <t>Portfolio</t>
  </si>
  <si>
    <t>Capital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</si>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</sst>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0" xfId="0" applyFont="1" applyFill="1" applyBorder="1"/>
    <xf numFmtId="0" fontId="3" fillId="2" borderId="0" xfId="0" applyNumberFormat="1" applyFont="1" applyFill="1" applyBorder="1"/>
    <xf numFmtId="14" fontId="3" fillId="2" borderId="0" xfId="0" applyNumberFormat="1" applyFont="1" applyFill="1" applyBorder="1"/>
    <xf numFmtId="0" fontId="3" fillId="2" borderId="0" xfId="0" applyFont="1" applyFill="1" applyBorder="1" applyAlignment="1">
      <alignment horizontal="right"/>
    </xf>
    <xf numFmtId="14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/>
    </xf>
    <xf numFmtId="0" fontId="7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0" xfId="0" applyFont="1" applyFill="1"/>
    <xf numFmtId="0" fontId="8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/>
    </xf>
    <xf numFmtId="0" fontId="3" fillId="4" borderId="0" xfId="0" applyFont="1" applyFill="1" applyAlignment="1"/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77"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76"/>
      <tableStyleElement type="headerRow" dxfId="175"/>
    </tableStyle>
    <tableStyle name="DynaDarkTable" table="0" count="0" xr9:uid="{B06040B8-60F4-4B9A-ABD1-CB3C8715E2D9}"/>
  </tableStyles>
  <colors>
    <mruColors>
      <color rgb="FF008000"/>
      <color rgb="FF8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  <xdr:twoCellAnchor>
    <xdr:from>
      <xdr:col>2</xdr:col>
      <xdr:colOff>571499</xdr:colOff>
      <xdr:row>53</xdr:row>
      <xdr:rowOff>149087</xdr:rowOff>
    </xdr:from>
    <xdr:to>
      <xdr:col>4</xdr:col>
      <xdr:colOff>463826</xdr:colOff>
      <xdr:row>56</xdr:row>
      <xdr:rowOff>99391</xdr:rowOff>
    </xdr:to>
    <xdr:sp macro="[0]!Tester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42999" y="10684565"/>
          <a:ext cx="1200979" cy="546652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2000" b="1"/>
            <a:t>Tester</a:t>
          </a:r>
        </a:p>
      </xdr:txBody>
    </xdr:sp>
    <xdr:clientData/>
  </xdr:twoCellAnchor>
  <xdr:twoCellAnchor editAs="oneCell">
    <xdr:from>
      <xdr:col>18</xdr:col>
      <xdr:colOff>180994</xdr:colOff>
      <xdr:row>1</xdr:row>
      <xdr:rowOff>8282</xdr:rowOff>
    </xdr:from>
    <xdr:to>
      <xdr:col>40</xdr:col>
      <xdr:colOff>191462</xdr:colOff>
      <xdr:row>52</xdr:row>
      <xdr:rowOff>173934</xdr:rowOff>
    </xdr:to>
    <xdr:pic>
      <xdr:nvPicPr>
        <xdr:cNvPr id="26" name="ta_chart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208307"/>
          <a:ext cx="14469418" cy="10366927"/>
        </a:xfrm>
        <a:prstGeom prst="rect">
          <a:avLst/>
        </a:prstGeom>
      </xdr:spPr>
    </xdr:pic>
    <xdr:clientData/>
  </xdr:twoCellAnchor>
  <xdr:twoCellAnchor editAs="oneCell">
    <xdr:from>
      <xdr:col>12</xdr:col>
      <xdr:colOff>176045</xdr:colOff>
      <xdr:row>1</xdr:row>
      <xdr:rowOff>198781</xdr:rowOff>
    </xdr:from>
    <xdr:to>
      <xdr:col>18</xdr:col>
      <xdr:colOff>73056</xdr:colOff>
      <xdr:row>15</xdr:row>
      <xdr:rowOff>66261</xdr:rowOff>
    </xdr:to>
    <xdr:pic>
      <xdr:nvPicPr>
        <xdr:cNvPr id="3072" name="portfolio_chart">
          <a:extLs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67270" y="398806"/>
          <a:ext cx="2830711" cy="2667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6" totalsRowShown="0" headerRowDxfId="174" dataDxfId="173" tableBorderDxfId="172">
  <autoFilter ref="A1:C56" xr:uid="{75D4C22B-08D7-488C-A1DE-F1D949256F6C}"/>
  <tableColumns count="3">
    <tableColumn id="1" xr3:uid="{F3AA3E18-6974-4E4F-A391-BAC2C4AAB0EF}" name="Parameter" dataDxfId="171"/>
    <tableColumn id="2" xr3:uid="{9E84C15F-5E36-4499-8F98-F2C56AFEEC46}" name="Block" dataDxfId="170"/>
    <tableColumn id="3" xr3:uid="{796A1552-01D4-4568-9AE3-95F159A226BF}" name="Value" dataDxfId="16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68" dataDxfId="167" tableBorderDxfId="166">
  <autoFilter ref="A1:I4" xr:uid="{14D89248-4A9E-426A-9C45-541AB82206A7}"/>
  <tableColumns count="9">
    <tableColumn id="1" xr3:uid="{ADD14B14-37A6-4F7E-990B-F40582C357B1}" name="Ticker" dataDxfId="165"/>
    <tableColumn id="2" xr3:uid="{67104A1A-779C-4FBC-BA1E-53A4682F1A9F}" name="Stock Exchange" dataDxfId="164"/>
    <tableColumn id="3" xr3:uid="{2116819B-EB4F-4377-9ED4-F29B204F9C6C}" name="Transaction Date" dataDxfId="163"/>
    <tableColumn id="4" xr3:uid="{A731F4EE-A5BA-427B-BC5A-579D60F50BBD}" name="Type" dataDxfId="162"/>
    <tableColumn id="5" xr3:uid="{BD3BA0AD-44BB-4C53-B8A6-14D52B4EABA6}" name="Currency" dataDxfId="161"/>
    <tableColumn id="6" xr3:uid="{80C59539-534C-43EA-905F-ED9AB0B7C6FD}" name="Shares" dataDxfId="160"/>
    <tableColumn id="7" xr3:uid="{EF3D08FA-0775-472A-A3E7-91B28E35145C}" name="Stock Price" dataDxfId="159"/>
    <tableColumn id="8" xr3:uid="{050DD34D-46FE-48A6-9EB3-63FFB1694E49}" name="Value" dataDxfId="158">
      <calculatedColumnFormula>Portfolio_Log[[#This Row],[Shares]]*Portfolio_Log[[#This Row],[Stock Price]]</calculatedColumnFormula>
    </tableColumn>
    <tableColumn id="9" xr3:uid="{B4C94E6B-332C-4F50-B6E3-D95F5C7C2450}" name="Fees" dataDxfId="157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34" dataDxfId="132" headerRowBorderDxfId="133" tableBorderDxfId="131">
  <autoFilter ref="A7:BR10" xr:uid="{6CDB2E93-AF10-413B-8141-0F9FDD16296B}"/>
  <tableColumns count="70">
    <tableColumn id="1" xr3:uid="{F17078EB-4E09-4FB6-AA70-A64C231F3B47}" name="Ticker" dataDxfId="130"/>
    <tableColumn id="16385" xr3:uid="{7536DA4D-E39F-4C51-B820-294E2665DD8A}" name="Status" dataDxfId="129"/>
    <tableColumn id="16402" xr3:uid="{A74FFAB5-F166-4A92-958A-4D88B9FCC331}" name="Action" dataDxfId="128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27"/>
    <tableColumn id="16398" xr3:uid="{32265C11-D45A-4DA4-900F-9C5D051DBEF6}" name="TA Approved" dataDxfId="126">
      <calculatedColumnFormula>IF(COUNTIF(Watchlist[[#This Row],[MACD Status]:[Stochastics Status]],"BUY")=3,TRUE,FALSE)</calculatedColumnFormula>
    </tableColumn>
    <tableColumn id="16401" xr3:uid="{803F7478-66D1-40B0-AEE5-DEF26EBA104C}" name="MACD Status" dataDxfId="125"/>
    <tableColumn id="16400" xr3:uid="{39AD2D20-27F2-4E5B-BCEF-C2B1E39358F7}" name="MA Status" dataDxfId="124"/>
    <tableColumn id="16399" xr3:uid="{D308828C-EFF5-4B8F-813C-A525FA22DE3D}" name="Stochastics Status" dataDxfId="123"/>
    <tableColumn id="16397" xr3:uid="{2EB690B7-B7F9-4587-951A-77884655B3F9}" name="Rule #1 Approval" dataDxfId="122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21"/>
    <tableColumn id="16392" xr3:uid="{9589A386-14C6-4D33-B91A-F9E908CFCE42}" name="Meaning Approved" dataDxfId="120"/>
    <tableColumn id="16394" xr3:uid="{AE55419D-0DCE-4144-9CF4-87FA13DA99DA}" name="MOAT Type" dataDxfId="119"/>
    <tableColumn id="8" xr3:uid="{A5BDCB41-FBB7-45D6-8348-D7BE89EC3A0D}" name="MOAT Approved" dataDxfId="118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17"/>
    <tableColumn id="16395" xr3:uid="{BBDDB370-0C2F-43FB-9F9C-087FCD21122E}" name="Management Approved" dataDxfId="116"/>
    <tableColumn id="16388" xr3:uid="{72293751-9810-4DE1-B7B1-FC20348A6ACD}" name="Sticker Price" dataDxfId="115"/>
    <tableColumn id="16389" xr3:uid="{05A93DFF-E2D3-42D7-9205-4F24357A5432}" name="MOS" dataDxfId="114"/>
    <tableColumn id="16390" xr3:uid="{E2EB8DD4-561D-491F-8171-A15A8C32A99C}" name="Stock Price" dataDxfId="113"/>
    <tableColumn id="6" xr3:uid="{A251D79D-A404-474C-9383-6FF22E8E1592}" name="Currency" dataDxfId="112"/>
    <tableColumn id="2" xr3:uid="{BD79A27D-679D-472B-BCF4-8439A90A1262}" name="Company Name" dataDxfId="111"/>
    <tableColumn id="3" xr3:uid="{24C639FE-E3E3-4214-89B3-4E649E2AC404}" name="Sector" dataDxfId="110"/>
    <tableColumn id="4" xr3:uid="{737653E7-60F3-4587-9488-B3B2385D9697}" name="Industry" dataDxfId="109"/>
    <tableColumn id="5" xr3:uid="{BA7C846D-CFB8-4E31-9FB3-D1AC613346FE}" name="Country" dataDxfId="108"/>
    <tableColumn id="7" xr3:uid="{5FC50652-9158-4869-B14F-098FB6EEB8F3}" name="Exchange" dataDxfId="107"/>
    <tableColumn id="34" xr3:uid="{6955106D-0785-4AC8-B6EF-D213C9BA00C0}" name="Analyst GR" dataDxfId="106"/>
    <tableColumn id="35" xr3:uid="{FC8ADC95-3B95-4CA2-8409-DE889BA373A1}" name="Equity GR" dataDxfId="105"/>
    <tableColumn id="36" xr3:uid="{546A11DF-7D72-42A0-B8B6-E2C8E9760DEA}" name="EPS GR" dataDxfId="104"/>
    <tableColumn id="63" xr3:uid="{6A96748F-F02A-47C0-BFF7-EA78C039CAF6}" name="Current EPS" dataDxfId="103"/>
    <tableColumn id="37" xr3:uid="{6A5FC5DD-AE9D-426E-A2A3-B28C47640794}" name="Future EPS" dataDxfId="102"/>
    <tableColumn id="42" xr3:uid="{82E4DA8A-EC15-4D7A-B45C-B26434FAEE26}" name="Av. Hist. PE" dataDxfId="101"/>
    <tableColumn id="43" xr3:uid="{A9BA0FF1-B865-4B67-8CA3-C19E7D6D2B04}" name="Default PE" dataDxfId="100"/>
    <tableColumn id="44" xr3:uid="{974812A1-0B60-4E60-BD79-096213337B43}" name="Future PE" dataDxfId="99"/>
    <tableColumn id="45" xr3:uid="{4CA4BE66-964B-4400-9E69-7950541789E2}" name="Forward PE" dataDxfId="98"/>
    <tableColumn id="46" xr3:uid="{88497CD8-B4DD-4087-9CA6-791AF96E197A}" name="Future Market Price" dataDxfId="97"/>
    <tableColumn id="47" xr3:uid="{BBD95E6C-D3AB-4A03-BC32-9ABCE81D0D3F}" name="Market Cap." dataDxfId="96"/>
    <tableColumn id="54" xr3:uid="{2CBC8F12-E130-4BB1-BA8C-5BFA54D0C3B8}" name="ROIC Approval" dataDxfId="95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94" dataCellStyle="Percent"/>
    <tableColumn id="11" xr3:uid="{F86044E0-13E7-473C-8DAE-5CE00244C1B1}" name="ROIC - 5-year" dataDxfId="93" dataCellStyle="Percent"/>
    <tableColumn id="12" xr3:uid="{002BFA32-265B-4944-B409-A5C1BF074729}" name="ROIC - 3-year" dataDxfId="92" dataCellStyle="Percent"/>
    <tableColumn id="13" xr3:uid="{FF755BD7-3DE7-40FD-A2C7-385964E01DE0}" name="ROIC - 1-year" dataDxfId="91" dataCellStyle="Percent"/>
    <tableColumn id="53" xr3:uid="{A7DAED2A-D6A8-44E3-96A0-FDFAB6F89BAF}" name="ROIC QuickFS Approval" dataDxfId="90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89" dataCellStyle="Percent"/>
    <tableColumn id="15" xr3:uid="{DA908BF4-9E9B-43DF-BE83-474D5D78DF14}" name="ROIC QuickFS - 5-year" dataDxfId="88" dataCellStyle="Percent"/>
    <tableColumn id="16" xr3:uid="{1A575379-DA11-4F97-B3E1-17E8FAF1AF3F}" name="ROIC QuickFS - 3-year" dataDxfId="87" dataCellStyle="Percent"/>
    <tableColumn id="17" xr3:uid="{07E12253-12DD-4735-B9FD-47638809999B}" name="ROIC QuickFS - 1-year" dataDxfId="86" dataCellStyle="Percent"/>
    <tableColumn id="52" xr3:uid="{85843C73-9A8B-43A5-B0B1-4742C832301F}" name="Equity Approval" dataDxfId="85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84" dataCellStyle="Percent"/>
    <tableColumn id="19" xr3:uid="{1B7651FC-6FEF-401C-8004-63755D74A404}" name="Equity - 5-year" dataDxfId="83" dataCellStyle="Percent"/>
    <tableColumn id="20" xr3:uid="{CCADA694-1F73-4885-AFA9-0D32179A0907}" name="Equity - 3-year" dataDxfId="82" dataCellStyle="Percent"/>
    <tableColumn id="21" xr3:uid="{BE0EB31F-1F10-41DA-BFFE-746F53E4850A}" name="Equity - 1-year" dataDxfId="81" dataCellStyle="Percent"/>
    <tableColumn id="51" xr3:uid="{8A8BA406-BDD6-4FFB-8E02-75B4E15937D4}" name="EPS Approval" dataDxfId="80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79" dataCellStyle="Percent"/>
    <tableColumn id="23" xr3:uid="{328D7F25-E21A-489C-8F28-3C84008A4390}" name="EPS - 5-year" dataDxfId="78" dataCellStyle="Percent"/>
    <tableColumn id="24" xr3:uid="{E9AC8CB0-A05A-4F87-B1F2-933EE0E49EE8}" name="EPS - 3-year" dataDxfId="77" dataCellStyle="Percent"/>
    <tableColumn id="25" xr3:uid="{91EA8E49-641D-4B95-B9A9-F19CBAD0AB63}" name="EPS - 1-year" dataDxfId="76" dataCellStyle="Percent"/>
    <tableColumn id="50" xr3:uid="{7B593F28-46E5-43FE-A533-F456848FC41B}" name="Sales Approval" dataDxfId="75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74" dataCellStyle="Percent"/>
    <tableColumn id="27" xr3:uid="{3BAEF80D-3A72-44FE-AC92-C07B728AD3EF}" name="Sales - 5-year" dataDxfId="73" dataCellStyle="Percent"/>
    <tableColumn id="28" xr3:uid="{36434464-2A6E-4B37-B007-969DA3C697F5}" name="Sales - 3-year" dataDxfId="72" dataCellStyle="Percent"/>
    <tableColumn id="29" xr3:uid="{3DFB5249-230D-4544-A4D4-D20ACA7DA77C}" name="Sales - 1-year" dataDxfId="71" dataCellStyle="Percent"/>
    <tableColumn id="49" xr3:uid="{8D6B81A9-04B1-4882-A726-98AAB1248B2B}" name="FCF Approval" dataDxfId="70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69" dataCellStyle="Percent"/>
    <tableColumn id="31" xr3:uid="{F78ABE31-2733-4CA7-9E02-E6566F2F96D5}" name="FCF - 5-year" dataDxfId="68" dataCellStyle="Percent"/>
    <tableColumn id="32" xr3:uid="{9E2C7FB5-6E96-470D-BEF2-CCBAC0FEF313}" name="FCF - 3-year" dataDxfId="67" dataCellStyle="Percent"/>
    <tableColumn id="33" xr3:uid="{09A9831F-08F6-404B-A83A-857CEAE3F5C2}" name="FCF - 1-year" dataDxfId="66" dataCellStyle="Percent"/>
    <tableColumn id="48" xr3:uid="{3C6D155E-9D2C-4E40-8EA3-F86AAAA8D06A}" name="OCF Approval" dataDxfId="65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64" dataCellStyle="Percent"/>
    <tableColumn id="39" xr3:uid="{94B8F2C6-687E-43F6-8086-81683834E13E}" name="OCF - 5-year" dataDxfId="63" dataCellStyle="Percent"/>
    <tableColumn id="40" xr3:uid="{D9F88DDD-C4A2-49B4-A21C-E80445943D2A}" name="OCF - 3-year" dataDxfId="62" dataCellStyle="Percent"/>
    <tableColumn id="41" xr3:uid="{2BA1CDC7-B3AC-45B9-A074-75D3F8C963EB}" name="OCF - 1-year" dataDxfId="6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48" dataDxfId="46" headerRowBorderDxfId="47" tableBorderDxfId="45">
  <autoFilter ref="A7:AS51" xr:uid="{B6C175EA-E577-469E-830C-2B667407291E}"/>
  <tableColumns count="45">
    <tableColumn id="1" xr3:uid="{534DD1C6-3D4D-46FD-BD5D-230A911F8436}" name="Ticker" dataDxfId="44"/>
    <tableColumn id="16385" xr3:uid="{FEBF2A17-6BED-4FD2-89F3-2C82FACA6BA5}" name="Status" dataDxfId="43"/>
    <tableColumn id="2" xr3:uid="{422455F4-5F15-48E4-A1A0-C461B4226096}" name="Company Name" dataDxfId="42"/>
    <tableColumn id="3" xr3:uid="{B1AB9AE0-FCEC-4997-A9A8-BE4417451404}" name="Sector" dataDxfId="41"/>
    <tableColumn id="4" xr3:uid="{E13B7241-8458-48D3-8A3B-A7EDEB396173}" name="Industry" dataDxfId="40"/>
    <tableColumn id="5" xr3:uid="{40110713-A5A9-4B98-AC3E-78904E353072}" name="Country" dataDxfId="39"/>
    <tableColumn id="6" xr3:uid="{5A5FC46A-98B7-468D-994A-9BE92E0AA10D}" name="Currency" dataDxfId="38"/>
    <tableColumn id="7" xr3:uid="{5402D95A-C668-453A-98D1-8EE56655731E}" name="Exchange" dataDxfId="37"/>
    <tableColumn id="8" xr3:uid="{752557E2-6B5E-4D4C-A1CA-00359A8D7DED}" name="MOAT Approval" dataDxfId="36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35"/>
    <tableColumn id="34" xr3:uid="{F5C0E4C5-AB63-417C-B135-8BA20F75107F}" name="ROIC Approval" dataDxfId="3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33" dataCellStyle="Percent"/>
    <tableColumn id="11" xr3:uid="{FD8762E8-E2C4-401A-9CAB-5FE43F0BF203}" name="ROIC - 5-year" dataDxfId="32" dataCellStyle="Percent"/>
    <tableColumn id="12" xr3:uid="{F03AC37F-13C7-4DB2-9DC6-DA1EC1875518}" name="ROIC - 3-year" dataDxfId="31" dataCellStyle="Percent"/>
    <tableColumn id="13" xr3:uid="{EE563FB7-83BC-4717-AF26-8A954A3BA950}" name="ROIC - 1-year" dataDxfId="30" dataCellStyle="Percent"/>
    <tableColumn id="35" xr3:uid="{14E097A7-8FE4-46E4-8ACC-D98174C4BD64}" name="ROIC QuickFS Approval" dataDxfId="29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28" dataCellStyle="Percent"/>
    <tableColumn id="15" xr3:uid="{5BBD9D88-7981-4E1E-8712-EBD3FDBED01B}" name="ROIC QuickFS - 5-year" dataDxfId="27" dataCellStyle="Percent"/>
    <tableColumn id="16" xr3:uid="{D5ABD411-64EA-4C11-BABE-5B5EACBCB940}" name="ROIC QuickFS - 3-year" dataDxfId="26" dataCellStyle="Percent"/>
    <tableColumn id="17" xr3:uid="{018C2735-6F2F-4A9B-8574-F78EDA9C123E}" name="ROIC QuickFS - 1-year" dataDxfId="25" dataCellStyle="Percent"/>
    <tableColumn id="36" xr3:uid="{2D2CC976-5151-4D5C-B824-5E04EEABB52F}" name="Equity Approval" dataDxfId="24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23" dataCellStyle="Percent"/>
    <tableColumn id="19" xr3:uid="{5CB24877-2B81-4B28-8293-9E3DA55C6E55}" name="Equity - 5-year" dataDxfId="22" dataCellStyle="Percent"/>
    <tableColumn id="20" xr3:uid="{5AB60461-E9FE-4F73-96D2-47990A7720BF}" name="Equity - 3-year" dataDxfId="21" dataCellStyle="Percent"/>
    <tableColumn id="21" xr3:uid="{EA2580E9-23E6-4320-951F-4FBA4C971DD8}" name="Equity - 1-year" dataDxfId="20" dataCellStyle="Percent"/>
    <tableColumn id="37" xr3:uid="{1780058E-B1FD-449E-9291-B2188941DE3F}" name="EPS Approval" dataDxfId="19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18" dataCellStyle="Percent"/>
    <tableColumn id="23" xr3:uid="{DFDF703B-A8F3-460E-8CD4-741B792B789E}" name="EPS - 5-year" dataDxfId="17" dataCellStyle="Percent"/>
    <tableColumn id="24" xr3:uid="{A727A240-400B-4A80-8F6D-A8FE56D4E510}" name="EPS - 3-year" dataDxfId="16" dataCellStyle="Percent"/>
    <tableColumn id="25" xr3:uid="{CC9561F0-2713-469E-B92F-A7C2D35BFA16}" name="EPS - 1-year" dataDxfId="15" dataCellStyle="Percent"/>
    <tableColumn id="42" xr3:uid="{5043754A-CAFA-47FE-8316-DF22131AA17C}" name="Sales Approval" dataDxfId="14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13" dataCellStyle="Percent"/>
    <tableColumn id="27" xr3:uid="{304595E7-4E93-42A5-99E0-7E0020AEECCC}" name="Sales - 5-year" dataDxfId="12" dataCellStyle="Percent"/>
    <tableColumn id="28" xr3:uid="{ADDF7DE2-928D-4A03-9DD0-7359CC50CD40}" name="Sales - 3-year" dataDxfId="11" dataCellStyle="Percent"/>
    <tableColumn id="29" xr3:uid="{DC3D83C0-C4C6-4CB5-A68D-1ECA3DCDA006}" name="Sales - 1-year" dataDxfId="10" dataCellStyle="Percent"/>
    <tableColumn id="43" xr3:uid="{1A19CF5F-21F9-4648-94DB-3F898BF02395}" name="FCF Approval" dataDxfId="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8" dataCellStyle="Percent"/>
    <tableColumn id="31" xr3:uid="{2EBA2C20-1D09-4B47-A28A-9F1BDCFF634A}" name="FCF - 5-year" dataDxfId="7" dataCellStyle="Percent"/>
    <tableColumn id="32" xr3:uid="{E0A800AD-8994-4F75-8D37-6B2D79EBC7FC}" name="FCF - 3-year" dataDxfId="6" dataCellStyle="Percent"/>
    <tableColumn id="33" xr3:uid="{5C8391EA-BBAC-49D8-AF31-32C448684F7E}" name="FCF - 1-year" dataDxfId="5" dataCellStyle="Percent"/>
    <tableColumn id="44" xr3:uid="{69917E2C-DD82-47CA-A8AF-17F4BE1A005E}" name="OCF Approval" dataDxfId="4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" dataCellStyle="Percent"/>
    <tableColumn id="39" xr3:uid="{905C015A-4CC2-4C75-AF5D-9967E577BE8A}" name="OCF - 5-year" dataDxfId="2" dataCellStyle="Percent"/>
    <tableColumn id="40" xr3:uid="{AF05594A-3B54-472C-9BAB-E549048A82C5}" name="OCF - 3-year" dataDxfId="1" dataCellStyle="Percent"/>
    <tableColumn id="41" xr3:uid="{034452F7-14A4-4340-8D02-66681D344173}" name="OCF - 1-year" dataDxfId="0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tabSelected="1" topLeftCell="A22" zoomScale="115" zoomScaleNormal="115" workbookViewId="0">
      <selection activeCell="E4" sqref="E4:E5"/>
    </sheetView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0" width="8.625" style="18"/>
    <col min="11" max="11" width="10.375" style="18" bestFit="1" customWidth="1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ht="15.75" customHeight="1" x14ac:dyDescent="0.25">
      <c r="B2" s="17"/>
      <c r="C2" s="36" t="s">
        <v>241</v>
      </c>
      <c r="D2" s="36"/>
      <c r="E2" s="36"/>
      <c r="F2" s="17"/>
      <c r="H2" s="17"/>
      <c r="I2" s="36" t="s">
        <v>57</v>
      </c>
      <c r="J2" s="36"/>
      <c r="K2" s="36"/>
      <c r="L2" s="17"/>
      <c r="O2" s="32" t="s">
        <v>370</v>
      </c>
      <c r="P2" s="32"/>
      <c r="Q2" s="32"/>
    </row>
    <row r="3" spans="2:18" ht="15.75" customHeight="1" x14ac:dyDescent="0.25">
      <c r="B3" s="17"/>
      <c r="C3" s="36"/>
      <c r="D3" s="36"/>
      <c r="E3" s="36"/>
      <c r="F3" s="17"/>
      <c r="H3" s="17"/>
      <c r="I3" s="36"/>
      <c r="J3" s="36"/>
      <c r="K3" s="36"/>
      <c r="L3" s="17"/>
      <c r="O3" s="32"/>
      <c r="P3" s="32"/>
      <c r="Q3" s="32"/>
    </row>
    <row r="4" spans="2:18" ht="15.75" customHeight="1" x14ac:dyDescent="0.25">
      <c r="B4" s="17"/>
      <c r="C4" s="40" t="s">
        <v>242</v>
      </c>
      <c r="D4" s="40"/>
      <c r="E4" s="42" t="s">
        <v>128</v>
      </c>
      <c r="F4" s="17"/>
      <c r="H4" s="17"/>
      <c r="I4" s="17"/>
      <c r="J4" s="17"/>
      <c r="K4" s="17"/>
      <c r="L4" s="17"/>
    </row>
    <row r="5" spans="2:18" ht="15.75" customHeight="1" x14ac:dyDescent="0.25">
      <c r="B5" s="17"/>
      <c r="C5" s="40"/>
      <c r="D5" s="40"/>
      <c r="E5" s="42"/>
      <c r="F5" s="17"/>
      <c r="H5" s="17"/>
      <c r="I5" s="17">
        <f>stock_price</f>
        <v>816.1199951171875</v>
      </c>
      <c r="J5" s="17"/>
      <c r="K5" s="17"/>
      <c r="L5" s="17"/>
    </row>
    <row r="6" spans="2:18" ht="15.75" customHeight="1" x14ac:dyDescent="0.25">
      <c r="B6" s="17"/>
      <c r="C6" s="19"/>
      <c r="D6" s="19"/>
      <c r="E6" s="17"/>
      <c r="F6" s="17"/>
      <c r="H6" s="17"/>
      <c r="I6" s="17"/>
      <c r="J6" s="17"/>
      <c r="K6" s="17"/>
      <c r="L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</row>
    <row r="8" spans="2:18" x14ac:dyDescent="0.25">
      <c r="B8" s="17"/>
      <c r="C8" s="17"/>
      <c r="D8" s="17"/>
      <c r="E8" s="17"/>
      <c r="F8" s="17"/>
    </row>
    <row r="9" spans="2:18" x14ac:dyDescent="0.25">
      <c r="B9" s="17"/>
      <c r="C9" s="17"/>
      <c r="D9" s="17"/>
      <c r="E9" s="17"/>
      <c r="F9" s="17"/>
      <c r="H9" s="17"/>
      <c r="I9" s="36" t="s">
        <v>371</v>
      </c>
      <c r="J9" s="36"/>
      <c r="K9" s="36"/>
      <c r="L9" s="17"/>
    </row>
    <row r="10" spans="2:18" x14ac:dyDescent="0.25">
      <c r="B10" s="17"/>
      <c r="C10" s="17"/>
      <c r="D10" s="17"/>
      <c r="E10" s="17"/>
      <c r="F10" s="17"/>
      <c r="H10" s="17"/>
      <c r="I10" s="36"/>
      <c r="J10" s="36"/>
      <c r="K10" s="36"/>
      <c r="L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</row>
    <row r="12" spans="2:18" x14ac:dyDescent="0.25">
      <c r="B12" s="17"/>
      <c r="C12" s="17"/>
      <c r="D12" s="17"/>
      <c r="E12" s="17"/>
      <c r="F12" s="17"/>
      <c r="H12" s="17"/>
      <c r="I12" s="17">
        <f>capital</f>
        <v>938.53799438476551</v>
      </c>
      <c r="J12" s="17"/>
      <c r="K12" s="17">
        <f>earnings</f>
        <v>241.63799438476553</v>
      </c>
      <c r="L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</row>
    <row r="16" spans="2:18" x14ac:dyDescent="0.25">
      <c r="B16" s="17"/>
      <c r="C16" s="36" t="s">
        <v>243</v>
      </c>
      <c r="D16" s="36"/>
      <c r="E16" s="36"/>
      <c r="F16" s="17"/>
      <c r="H16" s="17"/>
      <c r="I16" s="36" t="s">
        <v>260</v>
      </c>
      <c r="J16" s="36"/>
      <c r="K16" s="36"/>
      <c r="L16" s="17"/>
      <c r="N16" s="17"/>
      <c r="O16" s="36" t="s">
        <v>73</v>
      </c>
      <c r="P16" s="36"/>
      <c r="Q16" s="36"/>
      <c r="R16" s="17"/>
    </row>
    <row r="17" spans="2:18" ht="15.75" customHeight="1" x14ac:dyDescent="0.25">
      <c r="B17" s="17"/>
      <c r="C17" s="36"/>
      <c r="D17" s="36"/>
      <c r="E17" s="36"/>
      <c r="F17" s="17"/>
      <c r="H17" s="17"/>
      <c r="I17" s="36"/>
      <c r="J17" s="36"/>
      <c r="K17" s="36"/>
      <c r="L17" s="17"/>
      <c r="N17" s="17"/>
      <c r="O17" s="36"/>
      <c r="P17" s="36"/>
      <c r="Q17" s="36"/>
      <c r="R17" s="17"/>
    </row>
    <row r="18" spans="2:18" ht="15.75" customHeight="1" x14ac:dyDescent="0.25">
      <c r="B18" s="17"/>
      <c r="C18" s="20"/>
      <c r="D18" s="20"/>
      <c r="E18" s="20"/>
      <c r="F18" s="17"/>
      <c r="H18" s="17"/>
      <c r="I18" s="39" t="s">
        <v>262</v>
      </c>
      <c r="J18" s="39"/>
      <c r="K18" s="30">
        <f ca="1">today</f>
        <v>44252</v>
      </c>
      <c r="L18" s="17"/>
      <c r="N18" s="17"/>
      <c r="O18" s="35" t="s">
        <v>283</v>
      </c>
      <c r="P18" s="35"/>
      <c r="Q18" s="37" t="str">
        <f>ma_10_day</f>
        <v>SELL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4" t="s">
        <v>261</v>
      </c>
      <c r="J19" s="34"/>
      <c r="K19" s="31" t="str">
        <f>last_update</f>
        <v>13/02/2021</v>
      </c>
      <c r="L19" s="17"/>
      <c r="N19" s="17"/>
      <c r="O19" s="35"/>
      <c r="P19" s="35"/>
      <c r="Q19" s="37"/>
      <c r="R19" s="17"/>
    </row>
    <row r="20" spans="2:18" x14ac:dyDescent="0.25">
      <c r="B20" s="17"/>
      <c r="C20" s="17"/>
      <c r="D20" s="17"/>
      <c r="E20" s="17"/>
      <c r="F20" s="17"/>
      <c r="H20" s="17"/>
      <c r="I20" s="34" t="s">
        <v>263</v>
      </c>
      <c r="J20" s="34"/>
      <c r="K20" s="30">
        <f>last_market_close_date</f>
        <v>44239</v>
      </c>
      <c r="L20" s="17"/>
      <c r="N20" s="17"/>
      <c r="O20" s="35"/>
      <c r="P20" s="35"/>
      <c r="Q20" s="37"/>
      <c r="R20" s="17"/>
    </row>
    <row r="21" spans="2:18" x14ac:dyDescent="0.25">
      <c r="B21" s="17"/>
      <c r="C21" s="17"/>
      <c r="D21" s="17"/>
      <c r="E21" s="17"/>
      <c r="F21" s="17"/>
      <c r="H21" s="17"/>
      <c r="I21" s="34" t="s">
        <v>264</v>
      </c>
      <c r="J21" s="34"/>
      <c r="K21" s="30">
        <f>next_market_open_date</f>
        <v>44243</v>
      </c>
      <c r="L21" s="17"/>
      <c r="N21" s="17"/>
      <c r="O21" s="35" t="s">
        <v>284</v>
      </c>
      <c r="P21" s="35"/>
      <c r="Q21" s="37" t="str">
        <f>macd_8_17_9</f>
        <v>SELL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4" t="s">
        <v>268</v>
      </c>
      <c r="J22" s="34"/>
      <c r="K22" s="30">
        <f>next_quarter_report_date</f>
        <v>44313</v>
      </c>
      <c r="L22" s="17"/>
      <c r="N22" s="17"/>
      <c r="O22" s="35"/>
      <c r="P22" s="35"/>
      <c r="Q22" s="37"/>
      <c r="R22" s="17"/>
    </row>
    <row r="23" spans="2:18" x14ac:dyDescent="0.25">
      <c r="B23" s="17"/>
      <c r="C23" s="17"/>
      <c r="D23" s="17"/>
      <c r="E23" s="17"/>
      <c r="F23" s="17"/>
      <c r="H23" s="17"/>
      <c r="I23" s="34" t="s">
        <v>366</v>
      </c>
      <c r="J23" s="34"/>
      <c r="K23" s="30">
        <f>next_year_report_date</f>
        <v>44223</v>
      </c>
      <c r="L23" s="17"/>
      <c r="N23" s="17"/>
      <c r="O23" s="35"/>
      <c r="P23" s="35"/>
      <c r="Q23" s="37"/>
      <c r="R23" s="17"/>
    </row>
    <row r="24" spans="2:18" x14ac:dyDescent="0.25">
      <c r="B24" s="17"/>
      <c r="C24" s="17"/>
      <c r="D24" s="17"/>
      <c r="E24" s="17"/>
      <c r="F24" s="17"/>
      <c r="H24" s="17"/>
      <c r="I24" s="34" t="s">
        <v>265</v>
      </c>
      <c r="J24" s="34"/>
      <c r="K24" s="30">
        <f>investment_start_date</f>
        <v>44231</v>
      </c>
      <c r="L24" s="17"/>
      <c r="N24" s="17"/>
      <c r="O24" s="35" t="s">
        <v>285</v>
      </c>
      <c r="P24" s="35"/>
      <c r="Q24" s="37" t="str">
        <f>stoch_14_5</f>
        <v>SELL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4" t="s">
        <v>266</v>
      </c>
      <c r="J25" s="34"/>
      <c r="K25" s="30">
        <f>last_buy_date</f>
        <v>44231</v>
      </c>
      <c r="L25" s="17"/>
      <c r="N25" s="17"/>
      <c r="O25" s="35"/>
      <c r="P25" s="35"/>
      <c r="Q25" s="37"/>
      <c r="R25" s="17"/>
    </row>
    <row r="26" spans="2:18" x14ac:dyDescent="0.25">
      <c r="B26" s="17"/>
      <c r="C26" s="17"/>
      <c r="D26" s="17"/>
      <c r="E26" s="17"/>
      <c r="F26" s="17"/>
      <c r="H26" s="17"/>
      <c r="I26" s="34" t="s">
        <v>267</v>
      </c>
      <c r="J26" s="34"/>
      <c r="K26" s="30">
        <f>last_sell_date</f>
        <v>44231</v>
      </c>
      <c r="L26" s="17"/>
      <c r="N26" s="17"/>
      <c r="O26" s="35"/>
      <c r="P26" s="35"/>
      <c r="Q26" s="37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6" t="s">
        <v>244</v>
      </c>
      <c r="D29" s="36"/>
      <c r="E29" s="36"/>
      <c r="F29" s="17"/>
      <c r="H29" s="17"/>
      <c r="I29" s="36" t="s">
        <v>32</v>
      </c>
      <c r="J29" s="36"/>
      <c r="K29" s="36"/>
      <c r="L29" s="17"/>
      <c r="N29" s="17"/>
      <c r="O29" s="36" t="s">
        <v>60</v>
      </c>
      <c r="P29" s="36"/>
      <c r="Q29" s="36"/>
      <c r="R29" s="17"/>
    </row>
    <row r="30" spans="2:18" x14ac:dyDescent="0.25">
      <c r="B30" s="17"/>
      <c r="C30" s="36"/>
      <c r="D30" s="36"/>
      <c r="E30" s="36"/>
      <c r="F30" s="17"/>
      <c r="H30" s="17"/>
      <c r="I30" s="36"/>
      <c r="J30" s="36"/>
      <c r="K30" s="36"/>
      <c r="L30" s="17"/>
      <c r="N30" s="17"/>
      <c r="O30" s="36"/>
      <c r="P30" s="36"/>
      <c r="Q30" s="36"/>
      <c r="R30" s="17"/>
    </row>
    <row r="31" spans="2:18" x14ac:dyDescent="0.25">
      <c r="B31" s="17"/>
      <c r="C31" s="38" t="s">
        <v>247</v>
      </c>
      <c r="D31" s="38"/>
      <c r="E31" s="17">
        <f>market_cap</f>
        <v>246953836544</v>
      </c>
      <c r="F31" s="17"/>
      <c r="H31" s="17"/>
      <c r="I31" s="17" t="s">
        <v>269</v>
      </c>
      <c r="J31" s="17"/>
      <c r="K31" s="17">
        <f>active_shares</f>
        <v>5</v>
      </c>
      <c r="L31" s="17"/>
      <c r="N31" s="17"/>
      <c r="O31" s="33" t="s">
        <v>286</v>
      </c>
      <c r="P31" s="33"/>
      <c r="Q31" s="17" t="str">
        <f>meaning_type</f>
        <v>Engineering</v>
      </c>
      <c r="R31" s="17"/>
    </row>
    <row r="32" spans="2:18" x14ac:dyDescent="0.25">
      <c r="B32" s="17"/>
      <c r="C32" s="38" t="s">
        <v>246</v>
      </c>
      <c r="D32" s="38"/>
      <c r="E32" s="17">
        <f>ttm_eps</f>
        <v>6.0799997731953681</v>
      </c>
      <c r="F32" s="17"/>
      <c r="H32" s="17"/>
      <c r="I32" s="17" t="s">
        <v>270</v>
      </c>
      <c r="J32" s="17"/>
      <c r="K32" s="17">
        <f>shares_bought</f>
        <v>7</v>
      </c>
      <c r="L32" s="17"/>
      <c r="N32" s="17"/>
      <c r="O32" s="33"/>
      <c r="P32" s="33"/>
      <c r="Q32" s="17"/>
      <c r="R32" s="17"/>
    </row>
    <row r="33" spans="2:18" x14ac:dyDescent="0.25">
      <c r="B33" s="17"/>
      <c r="C33" s="38" t="s">
        <v>248</v>
      </c>
      <c r="D33" s="38"/>
      <c r="E33" s="17">
        <f>ttm_pe</f>
        <v>91.708884999999995</v>
      </c>
      <c r="F33" s="17"/>
      <c r="H33" s="17"/>
      <c r="I33" s="17" t="s">
        <v>271</v>
      </c>
      <c r="J33" s="17"/>
      <c r="K33" s="17">
        <f>shares_sold</f>
        <v>2</v>
      </c>
      <c r="L33" s="17"/>
      <c r="N33" s="17"/>
      <c r="O33" s="33" t="s">
        <v>287</v>
      </c>
      <c r="P33" s="33"/>
      <c r="Q33" s="17" t="str">
        <f>moat_type</f>
        <v>Brand</v>
      </c>
      <c r="R33" s="17"/>
    </row>
    <row r="34" spans="2:18" x14ac:dyDescent="0.25">
      <c r="B34" s="17"/>
      <c r="C34" s="38" t="s">
        <v>249</v>
      </c>
      <c r="D34" s="38"/>
      <c r="E34" s="17">
        <f>current_vol</f>
        <v>2730587</v>
      </c>
      <c r="F34" s="17"/>
      <c r="H34" s="17"/>
      <c r="I34" s="17"/>
      <c r="J34" s="17"/>
      <c r="K34" s="17"/>
      <c r="L34" s="17"/>
      <c r="N34" s="17"/>
      <c r="O34" s="33"/>
      <c r="P34" s="33"/>
      <c r="Q34" s="17"/>
      <c r="R34" s="17"/>
    </row>
    <row r="35" spans="2:18" x14ac:dyDescent="0.25">
      <c r="B35" s="17"/>
      <c r="C35" s="38" t="s">
        <v>250</v>
      </c>
      <c r="D35" s="38"/>
      <c r="E35" s="17">
        <f>av_vol_10_day</f>
        <v>3564325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8" t="s">
        <v>251</v>
      </c>
      <c r="D36" s="38"/>
      <c r="E36" s="17">
        <f>av_vol_3_months</f>
        <v>4779691</v>
      </c>
      <c r="F36" s="17"/>
      <c r="H36" s="17"/>
      <c r="I36" s="36" t="s">
        <v>272</v>
      </c>
      <c r="J36" s="36"/>
      <c r="K36" s="36"/>
      <c r="L36" s="17"/>
      <c r="N36" s="17"/>
      <c r="O36" s="34" t="s">
        <v>288</v>
      </c>
      <c r="P36" s="34"/>
      <c r="Q36" s="17">
        <f>min_roic</f>
        <v>-0.21859999999999999</v>
      </c>
      <c r="R36" s="17"/>
    </row>
    <row r="37" spans="2:18" x14ac:dyDescent="0.25">
      <c r="B37" s="17"/>
      <c r="C37" s="38" t="s">
        <v>252</v>
      </c>
      <c r="D37" s="38"/>
      <c r="E37" s="17"/>
      <c r="F37" s="17"/>
      <c r="H37" s="17"/>
      <c r="I37" s="36"/>
      <c r="J37" s="36"/>
      <c r="K37" s="36"/>
      <c r="L37" s="17"/>
      <c r="N37" s="17"/>
      <c r="O37" s="34" t="s">
        <v>289</v>
      </c>
      <c r="P37" s="34"/>
      <c r="Q37" s="17">
        <f>min_roe</f>
        <v>0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273</v>
      </c>
      <c r="J38" s="17"/>
      <c r="K38" s="17">
        <f>invested_capital</f>
        <v>1101</v>
      </c>
      <c r="L38" s="17"/>
      <c r="N38" s="17"/>
      <c r="O38" s="34" t="s">
        <v>290</v>
      </c>
      <c r="P38" s="34"/>
      <c r="Q38" s="17">
        <f>min_equity_growth</f>
        <v>3.1800000000000002E-2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270</v>
      </c>
      <c r="J39" s="17"/>
      <c r="K39" s="17">
        <f>shares_bought_value</f>
        <v>2703</v>
      </c>
      <c r="L39" s="17"/>
      <c r="N39" s="17"/>
      <c r="O39" s="34" t="s">
        <v>291</v>
      </c>
      <c r="P39" s="34"/>
      <c r="Q39" s="25">
        <f>min_eps_growth</f>
        <v>-0.21479999999999999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271</v>
      </c>
      <c r="J40" s="17"/>
      <c r="K40" s="17">
        <f>shares_sold_value</f>
        <v>1602</v>
      </c>
      <c r="L40" s="17"/>
      <c r="N40" s="17"/>
      <c r="O40" s="34" t="s">
        <v>292</v>
      </c>
      <c r="P40" s="34"/>
      <c r="Q40" s="17">
        <f>min_sales_growth</f>
        <v>0.1452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4" t="s">
        <v>293</v>
      </c>
      <c r="P41" s="34"/>
      <c r="Q41" s="17">
        <f>min_fcf_growth</f>
        <v>1.1426000000000001</v>
      </c>
      <c r="R41" s="17"/>
    </row>
    <row r="42" spans="2:18" x14ac:dyDescent="0.25">
      <c r="N42" s="17"/>
      <c r="O42" s="34" t="s">
        <v>294</v>
      </c>
      <c r="P42" s="34"/>
      <c r="Q42" s="17">
        <f>min_ocf_growth</f>
        <v>0.14630000000000001</v>
      </c>
      <c r="R42" s="17"/>
    </row>
    <row r="43" spans="2:18" x14ac:dyDescent="0.25">
      <c r="B43" s="17"/>
      <c r="C43" s="41" t="s">
        <v>245</v>
      </c>
      <c r="D43" s="41"/>
      <c r="E43" s="41"/>
      <c r="F43" s="17"/>
      <c r="H43" s="17"/>
      <c r="I43" s="36" t="s">
        <v>274</v>
      </c>
      <c r="J43" s="36"/>
      <c r="K43" s="36"/>
      <c r="L43" s="17"/>
      <c r="N43" s="17"/>
      <c r="O43" s="34" t="s">
        <v>295</v>
      </c>
      <c r="P43" s="34"/>
      <c r="Q43" s="17" t="b">
        <f>payoff_debt_possible</f>
        <v>0</v>
      </c>
      <c r="R43" s="17"/>
    </row>
    <row r="44" spans="2:18" x14ac:dyDescent="0.25">
      <c r="B44" s="17"/>
      <c r="C44" s="41"/>
      <c r="D44" s="41"/>
      <c r="E44" s="41"/>
      <c r="F44" s="17"/>
      <c r="H44" s="17"/>
      <c r="I44" s="36"/>
      <c r="J44" s="36"/>
      <c r="K44" s="36"/>
      <c r="L44" s="17"/>
      <c r="N44" s="17"/>
      <c r="O44" s="17"/>
      <c r="P44" s="17"/>
      <c r="Q44" s="17"/>
      <c r="R44" s="17"/>
    </row>
    <row r="45" spans="2:18" x14ac:dyDescent="0.25">
      <c r="B45" s="17"/>
      <c r="C45" s="38" t="s">
        <v>253</v>
      </c>
      <c r="D45" s="38"/>
      <c r="E45" s="17" t="str">
        <f>company</f>
        <v>Amazon.com, Inc.</v>
      </c>
      <c r="F45" s="17"/>
      <c r="H45" s="17"/>
      <c r="I45" s="34" t="s">
        <v>276</v>
      </c>
      <c r="J45" s="34"/>
      <c r="K45" s="17">
        <f>profits_annual</f>
        <v>2979.5999755859375</v>
      </c>
      <c r="L45" s="17"/>
      <c r="N45" s="17"/>
      <c r="O45" s="33" t="s">
        <v>296</v>
      </c>
      <c r="P45" s="33"/>
      <c r="Q45" s="17">
        <f>sticker_price</f>
        <v>924.44</v>
      </c>
      <c r="R45" s="17"/>
    </row>
    <row r="46" spans="2:18" x14ac:dyDescent="0.25">
      <c r="B46" s="17"/>
      <c r="C46" s="38" t="s">
        <v>254</v>
      </c>
      <c r="D46" s="38"/>
      <c r="E46" s="17" t="str">
        <f>currency</f>
        <v>USD</v>
      </c>
      <c r="F46" s="17"/>
      <c r="H46" s="17"/>
      <c r="I46" s="34" t="s">
        <v>275</v>
      </c>
      <c r="J46" s="34"/>
      <c r="K46" s="17">
        <f>profits_1quarter</f>
        <v>2979.5999755859375</v>
      </c>
      <c r="L46" s="17"/>
      <c r="N46" s="17"/>
      <c r="O46" s="33"/>
      <c r="P46" s="33"/>
      <c r="Q46" s="17"/>
      <c r="R46" s="17"/>
    </row>
    <row r="47" spans="2:18" x14ac:dyDescent="0.25">
      <c r="B47" s="17"/>
      <c r="C47" s="38" t="s">
        <v>255</v>
      </c>
      <c r="D47" s="38"/>
      <c r="E47" s="17" t="str">
        <f>country</f>
        <v>United States</v>
      </c>
      <c r="F47" s="17"/>
      <c r="H47" s="17"/>
      <c r="I47" s="34" t="s">
        <v>277</v>
      </c>
      <c r="J47" s="34"/>
      <c r="K47" s="17">
        <f>profits_2quarter</f>
        <v>0</v>
      </c>
      <c r="L47" s="17"/>
      <c r="N47" s="17"/>
      <c r="O47" s="33" t="s">
        <v>297</v>
      </c>
      <c r="P47" s="33"/>
      <c r="Q47" s="17">
        <f>mos_price</f>
        <v>462.22</v>
      </c>
      <c r="R47" s="17"/>
    </row>
    <row r="48" spans="2:18" x14ac:dyDescent="0.25">
      <c r="B48" s="17"/>
      <c r="C48" s="38" t="s">
        <v>257</v>
      </c>
      <c r="D48" s="38"/>
      <c r="E48" s="17" t="str">
        <f>exchange</f>
        <v>NasdaqGS</v>
      </c>
      <c r="F48" s="17"/>
      <c r="H48" s="17"/>
      <c r="I48" s="34" t="s">
        <v>278</v>
      </c>
      <c r="J48" s="34"/>
      <c r="K48" s="17">
        <f>profits_3quarter</f>
        <v>0</v>
      </c>
      <c r="L48" s="17"/>
      <c r="N48" s="17"/>
      <c r="O48" s="33"/>
      <c r="P48" s="33"/>
      <c r="Q48" s="17"/>
      <c r="R48" s="17"/>
    </row>
    <row r="49" spans="2:18" x14ac:dyDescent="0.25">
      <c r="B49" s="17"/>
      <c r="C49" s="38" t="s">
        <v>258</v>
      </c>
      <c r="D49" s="38"/>
      <c r="E49" s="17" t="str">
        <f>sector</f>
        <v>Consumer Cyclical</v>
      </c>
      <c r="F49" s="17"/>
      <c r="H49" s="17"/>
      <c r="I49" s="34" t="s">
        <v>279</v>
      </c>
      <c r="J49" s="34"/>
      <c r="K49" s="25">
        <f>profits_4quarter</f>
        <v>0</v>
      </c>
      <c r="L49" s="17"/>
      <c r="N49" s="17"/>
      <c r="O49" s="33" t="s">
        <v>298</v>
      </c>
      <c r="P49" s="33"/>
      <c r="Q49" s="17">
        <f>payback_time</f>
        <v>0</v>
      </c>
      <c r="R49" s="17"/>
    </row>
    <row r="50" spans="2:18" x14ac:dyDescent="0.25">
      <c r="B50" s="17"/>
      <c r="C50" s="38" t="s">
        <v>259</v>
      </c>
      <c r="D50" s="38"/>
      <c r="E50" s="17" t="str">
        <f>industry</f>
        <v>Internet Retail</v>
      </c>
      <c r="F50" s="17"/>
      <c r="H50" s="17"/>
      <c r="I50" s="34" t="s">
        <v>280</v>
      </c>
      <c r="J50" s="34"/>
      <c r="K50" s="17">
        <f>profits_month</f>
        <v>2979.5999755859375</v>
      </c>
      <c r="L50" s="17"/>
      <c r="N50" s="17"/>
      <c r="O50" s="33"/>
      <c r="P50" s="33"/>
      <c r="Q50" s="17"/>
      <c r="R50" s="17"/>
    </row>
    <row r="51" spans="2:18" x14ac:dyDescent="0.25">
      <c r="B51" s="17"/>
      <c r="C51" s="38" t="s">
        <v>252</v>
      </c>
      <c r="D51" s="38"/>
      <c r="E51" s="17"/>
      <c r="F51" s="17"/>
      <c r="H51" s="17"/>
      <c r="I51" s="34" t="s">
        <v>281</v>
      </c>
      <c r="J51" s="34"/>
      <c r="K51" s="17">
        <f>profits_week</f>
        <v>1865.6799926757813</v>
      </c>
      <c r="L51" s="17"/>
      <c r="N51" s="17"/>
      <c r="O51" s="33" t="s">
        <v>299</v>
      </c>
      <c r="P51" s="33"/>
      <c r="Q51" s="17">
        <f>payback_price</f>
        <v>0</v>
      </c>
      <c r="R51" s="17"/>
    </row>
    <row r="52" spans="2:18" x14ac:dyDescent="0.25">
      <c r="B52" s="17"/>
      <c r="C52" s="38"/>
      <c r="D52" s="38"/>
      <c r="E52" s="17"/>
      <c r="F52" s="17"/>
      <c r="H52" s="17"/>
      <c r="I52" s="34" t="s">
        <v>282</v>
      </c>
      <c r="J52" s="34"/>
      <c r="K52" s="17">
        <f>profits_day</f>
        <v>0</v>
      </c>
      <c r="L52" s="17"/>
      <c r="N52" s="17"/>
      <c r="O52" s="33"/>
      <c r="P52" s="33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7"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  <mergeCell ref="E4:E5"/>
    <mergeCell ref="I2:K3"/>
    <mergeCell ref="I9:K10"/>
    <mergeCell ref="I16:K17"/>
    <mergeCell ref="I19:J19"/>
    <mergeCell ref="I20:J20"/>
    <mergeCell ref="I18:J18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O2:Q3"/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</mergeCells>
  <dataValidations count="2">
    <dataValidation type="list" allowBlank="1" showInputMessage="1" showErrorMessage="1" sqref="E5" xr:uid="{F6CFDC55-35E7-4EF4-8644-A78FF0DBDDF2}">
      <formula1>"AAPL,TSLA,AMZN,NFLX"</formula1>
    </dataValidation>
    <dataValidation type="list" operator="equal" allowBlank="1" showInputMessage="1" showErrorMessage="1" sqref="E4" xr:uid="{427FCA7B-92C6-4B2B-9127-8C431A89DEF6}">
      <formula1>"TSLA,AAPL,AMZN,TEMP"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6"/>
  <sheetViews>
    <sheetView topLeftCell="A19" zoomScale="70" zoomScaleNormal="70" workbookViewId="0">
      <selection activeCell="M74" sqref="M74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3" width="17.25" style="3" bestFit="1" customWidth="1"/>
    <col min="4" max="16384" width="9" style="3"/>
  </cols>
  <sheetData>
    <row r="1" spans="1:3" x14ac:dyDescent="0.25">
      <c r="A1" s="26" t="s">
        <v>309</v>
      </c>
      <c r="B1" s="26" t="s">
        <v>310</v>
      </c>
      <c r="C1" s="26" t="s">
        <v>304</v>
      </c>
    </row>
    <row r="2" spans="1:3" x14ac:dyDescent="0.25">
      <c r="A2" s="26" t="s">
        <v>311</v>
      </c>
      <c r="B2" s="26" t="s">
        <v>244</v>
      </c>
      <c r="C2" s="27">
        <v>246953836544</v>
      </c>
    </row>
    <row r="3" spans="1:3" x14ac:dyDescent="0.25">
      <c r="A3" s="26" t="s">
        <v>312</v>
      </c>
      <c r="B3" s="26" t="s">
        <v>244</v>
      </c>
      <c r="C3" s="26">
        <v>6.0799997731953681</v>
      </c>
    </row>
    <row r="4" spans="1:3" x14ac:dyDescent="0.25">
      <c r="A4" s="26" t="s">
        <v>313</v>
      </c>
      <c r="B4" s="26" t="s">
        <v>244</v>
      </c>
      <c r="C4" s="26">
        <v>91.708884999999995</v>
      </c>
    </row>
    <row r="5" spans="1:3" x14ac:dyDescent="0.25">
      <c r="A5" s="26" t="s">
        <v>314</v>
      </c>
      <c r="B5" s="26" t="s">
        <v>244</v>
      </c>
      <c r="C5" s="26">
        <v>2730587</v>
      </c>
    </row>
    <row r="6" spans="1:3" x14ac:dyDescent="0.25">
      <c r="A6" s="26" t="s">
        <v>315</v>
      </c>
      <c r="B6" s="26" t="s">
        <v>244</v>
      </c>
      <c r="C6" s="26">
        <v>3564325</v>
      </c>
    </row>
    <row r="7" spans="1:3" x14ac:dyDescent="0.25">
      <c r="A7" s="26" t="s">
        <v>316</v>
      </c>
      <c r="B7" s="26" t="s">
        <v>244</v>
      </c>
      <c r="C7" s="26">
        <v>4779691</v>
      </c>
    </row>
    <row r="8" spans="1:3" x14ac:dyDescent="0.25">
      <c r="A8" s="26" t="s">
        <v>317</v>
      </c>
      <c r="B8" s="26" t="s">
        <v>245</v>
      </c>
      <c r="C8" s="26" t="s">
        <v>111</v>
      </c>
    </row>
    <row r="9" spans="1:3" x14ac:dyDescent="0.25">
      <c r="A9" s="26" t="s">
        <v>318</v>
      </c>
      <c r="B9" s="26" t="s">
        <v>245</v>
      </c>
      <c r="C9" s="26" t="s">
        <v>96</v>
      </c>
    </row>
    <row r="10" spans="1:3" x14ac:dyDescent="0.25">
      <c r="A10" s="26" t="s">
        <v>319</v>
      </c>
      <c r="B10" s="26" t="s">
        <v>245</v>
      </c>
      <c r="C10" s="26" t="s">
        <v>97</v>
      </c>
    </row>
    <row r="11" spans="1:3" x14ac:dyDescent="0.25">
      <c r="A11" s="26" t="s">
        <v>320</v>
      </c>
      <c r="B11" s="26" t="s">
        <v>245</v>
      </c>
      <c r="C11" s="26" t="s">
        <v>364</v>
      </c>
    </row>
    <row r="12" spans="1:3" x14ac:dyDescent="0.25">
      <c r="A12" s="26" t="s">
        <v>321</v>
      </c>
      <c r="B12" s="26" t="s">
        <v>245</v>
      </c>
      <c r="C12" s="26" t="s">
        <v>112</v>
      </c>
    </row>
    <row r="13" spans="1:3" x14ac:dyDescent="0.25">
      <c r="A13" s="26" t="s">
        <v>322</v>
      </c>
      <c r="B13" s="26" t="s">
        <v>245</v>
      </c>
      <c r="C13" s="26" t="s">
        <v>113</v>
      </c>
    </row>
    <row r="14" spans="1:3" x14ac:dyDescent="0.25">
      <c r="A14" s="26" t="s">
        <v>323</v>
      </c>
      <c r="B14" s="26" t="s">
        <v>57</v>
      </c>
      <c r="C14" s="26">
        <v>816.1199951171875</v>
      </c>
    </row>
    <row r="15" spans="1:3" x14ac:dyDescent="0.25">
      <c r="A15" s="26" t="s">
        <v>372</v>
      </c>
      <c r="B15" s="26" t="s">
        <v>371</v>
      </c>
      <c r="C15" s="26">
        <v>938.53799438476551</v>
      </c>
    </row>
    <row r="16" spans="1:3" x14ac:dyDescent="0.25">
      <c r="A16" s="26" t="s">
        <v>324</v>
      </c>
      <c r="B16" s="26" t="s">
        <v>371</v>
      </c>
      <c r="C16" s="26">
        <v>241.63799438476553</v>
      </c>
    </row>
    <row r="17" spans="1:3" x14ac:dyDescent="0.25">
      <c r="A17" s="26" t="s">
        <v>325</v>
      </c>
      <c r="B17" s="26" t="s">
        <v>260</v>
      </c>
      <c r="C17" s="28">
        <f ca="1">TODAY()</f>
        <v>44252</v>
      </c>
    </row>
    <row r="18" spans="1:3" x14ac:dyDescent="0.25">
      <c r="A18" s="26" t="s">
        <v>326</v>
      </c>
      <c r="B18" s="26" t="s">
        <v>260</v>
      </c>
      <c r="C18" s="29" t="s">
        <v>365</v>
      </c>
    </row>
    <row r="19" spans="1:3" x14ac:dyDescent="0.25">
      <c r="A19" s="26" t="s">
        <v>327</v>
      </c>
      <c r="B19" s="26" t="s">
        <v>260</v>
      </c>
      <c r="C19" s="28">
        <v>44239</v>
      </c>
    </row>
    <row r="20" spans="1:3" x14ac:dyDescent="0.25">
      <c r="A20" s="26" t="s">
        <v>328</v>
      </c>
      <c r="B20" s="26" t="s">
        <v>260</v>
      </c>
      <c r="C20" s="28">
        <v>44243</v>
      </c>
    </row>
    <row r="21" spans="1:3" x14ac:dyDescent="0.25">
      <c r="A21" s="26" t="s">
        <v>329</v>
      </c>
      <c r="B21" s="26" t="s">
        <v>260</v>
      </c>
      <c r="C21" s="28">
        <v>44313</v>
      </c>
    </row>
    <row r="22" spans="1:3" x14ac:dyDescent="0.25">
      <c r="A22" s="26" t="s">
        <v>367</v>
      </c>
      <c r="B22" s="26" t="s">
        <v>260</v>
      </c>
      <c r="C22" s="28">
        <v>44223</v>
      </c>
    </row>
    <row r="23" spans="1:3" x14ac:dyDescent="0.25">
      <c r="A23" s="26" t="s">
        <v>330</v>
      </c>
      <c r="B23" s="26" t="s">
        <v>260</v>
      </c>
      <c r="C23" s="28">
        <v>44231</v>
      </c>
    </row>
    <row r="24" spans="1:3" x14ac:dyDescent="0.25">
      <c r="A24" s="26" t="s">
        <v>331</v>
      </c>
      <c r="B24" s="26" t="s">
        <v>260</v>
      </c>
      <c r="C24" s="28">
        <v>44231</v>
      </c>
    </row>
    <row r="25" spans="1:3" x14ac:dyDescent="0.25">
      <c r="A25" s="26" t="s">
        <v>332</v>
      </c>
      <c r="B25" s="26" t="s">
        <v>260</v>
      </c>
      <c r="C25" s="28">
        <v>44231</v>
      </c>
    </row>
    <row r="26" spans="1:3" x14ac:dyDescent="0.25">
      <c r="A26" s="26" t="s">
        <v>333</v>
      </c>
      <c r="B26" s="26" t="s">
        <v>32</v>
      </c>
      <c r="C26" s="26">
        <v>5</v>
      </c>
    </row>
    <row r="27" spans="1:3" x14ac:dyDescent="0.25">
      <c r="A27" s="26" t="s">
        <v>335</v>
      </c>
      <c r="B27" s="26" t="s">
        <v>32</v>
      </c>
      <c r="C27" s="26">
        <v>7</v>
      </c>
    </row>
    <row r="28" spans="1:3" x14ac:dyDescent="0.25">
      <c r="A28" s="26" t="s">
        <v>334</v>
      </c>
      <c r="B28" s="26" t="s">
        <v>32</v>
      </c>
      <c r="C28" s="26">
        <v>2</v>
      </c>
    </row>
    <row r="29" spans="1:3" x14ac:dyDescent="0.25">
      <c r="A29" s="26" t="s">
        <v>336</v>
      </c>
      <c r="B29" s="26" t="s">
        <v>272</v>
      </c>
      <c r="C29" s="26">
        <v>1101</v>
      </c>
    </row>
    <row r="30" spans="1:3" x14ac:dyDescent="0.25">
      <c r="A30" s="26" t="s">
        <v>337</v>
      </c>
      <c r="B30" s="26" t="s">
        <v>272</v>
      </c>
      <c r="C30" s="26">
        <v>2703</v>
      </c>
    </row>
    <row r="31" spans="1:3" x14ac:dyDescent="0.25">
      <c r="A31" s="26" t="s">
        <v>338</v>
      </c>
      <c r="B31" s="26" t="s">
        <v>272</v>
      </c>
      <c r="C31" s="26">
        <v>1602</v>
      </c>
    </row>
    <row r="32" spans="1:3" x14ac:dyDescent="0.25">
      <c r="A32" s="26" t="s">
        <v>363</v>
      </c>
      <c r="B32" s="26" t="s">
        <v>274</v>
      </c>
      <c r="C32" s="26">
        <v>2979.5999755859375</v>
      </c>
    </row>
    <row r="33" spans="1:3" x14ac:dyDescent="0.25">
      <c r="A33" s="26" t="s">
        <v>339</v>
      </c>
      <c r="B33" s="26" t="s">
        <v>274</v>
      </c>
      <c r="C33" s="26">
        <v>2979.5999755859375</v>
      </c>
    </row>
    <row r="34" spans="1:3" x14ac:dyDescent="0.25">
      <c r="A34" s="26" t="s">
        <v>340</v>
      </c>
      <c r="B34" s="26" t="s">
        <v>274</v>
      </c>
      <c r="C34" s="26">
        <v>0</v>
      </c>
    </row>
    <row r="35" spans="1:3" x14ac:dyDescent="0.25">
      <c r="A35" s="26" t="s">
        <v>341</v>
      </c>
      <c r="B35" s="26" t="s">
        <v>274</v>
      </c>
      <c r="C35" s="26">
        <v>0</v>
      </c>
    </row>
    <row r="36" spans="1:3" x14ac:dyDescent="0.25">
      <c r="A36" s="26" t="s">
        <v>342</v>
      </c>
      <c r="B36" s="26" t="s">
        <v>274</v>
      </c>
      <c r="C36" s="26">
        <v>0</v>
      </c>
    </row>
    <row r="37" spans="1:3" x14ac:dyDescent="0.25">
      <c r="A37" s="26" t="s">
        <v>343</v>
      </c>
      <c r="B37" s="26" t="s">
        <v>274</v>
      </c>
      <c r="C37" s="26">
        <v>2979.5999755859375</v>
      </c>
    </row>
    <row r="38" spans="1:3" x14ac:dyDescent="0.25">
      <c r="A38" s="26" t="s">
        <v>344</v>
      </c>
      <c r="B38" s="26" t="s">
        <v>274</v>
      </c>
      <c r="C38" s="26">
        <v>1865.6799926757813</v>
      </c>
    </row>
    <row r="39" spans="1:3" x14ac:dyDescent="0.25">
      <c r="A39" s="26" t="s">
        <v>345</v>
      </c>
      <c r="B39" s="26" t="s">
        <v>274</v>
      </c>
      <c r="C39" s="26">
        <v>0</v>
      </c>
    </row>
    <row r="40" spans="1:3" x14ac:dyDescent="0.25">
      <c r="A40" s="26" t="s">
        <v>346</v>
      </c>
      <c r="B40" s="26" t="s">
        <v>73</v>
      </c>
      <c r="C40" s="29" t="s">
        <v>239</v>
      </c>
    </row>
    <row r="41" spans="1:3" x14ac:dyDescent="0.25">
      <c r="A41" s="26" t="s">
        <v>347</v>
      </c>
      <c r="B41" s="26" t="s">
        <v>73</v>
      </c>
      <c r="C41" s="29" t="s">
        <v>239</v>
      </c>
    </row>
    <row r="42" spans="1:3" x14ac:dyDescent="0.25">
      <c r="A42" s="26" t="s">
        <v>348</v>
      </c>
      <c r="B42" s="26" t="s">
        <v>73</v>
      </c>
      <c r="C42" s="29" t="s">
        <v>239</v>
      </c>
    </row>
    <row r="43" spans="1:3" x14ac:dyDescent="0.25">
      <c r="A43" s="26" t="s">
        <v>349</v>
      </c>
      <c r="B43" s="26" t="s">
        <v>60</v>
      </c>
      <c r="C43" s="26" t="s">
        <v>368</v>
      </c>
    </row>
    <row r="44" spans="1:3" x14ac:dyDescent="0.25">
      <c r="A44" s="26" t="s">
        <v>350</v>
      </c>
      <c r="B44" s="26" t="s">
        <v>60</v>
      </c>
      <c r="C44" s="26" t="s">
        <v>369</v>
      </c>
    </row>
    <row r="45" spans="1:3" x14ac:dyDescent="0.25">
      <c r="A45" s="26" t="s">
        <v>351</v>
      </c>
      <c r="B45" s="26" t="s">
        <v>60</v>
      </c>
      <c r="C45" s="26">
        <v>-0.21859999999999999</v>
      </c>
    </row>
    <row r="46" spans="1:3" x14ac:dyDescent="0.25">
      <c r="A46" s="26" t="s">
        <v>352</v>
      </c>
      <c r="B46" s="26" t="s">
        <v>60</v>
      </c>
      <c r="C46" s="26"/>
    </row>
    <row r="47" spans="1:3" x14ac:dyDescent="0.25">
      <c r="A47" s="26" t="s">
        <v>353</v>
      </c>
      <c r="B47" s="26" t="s">
        <v>60</v>
      </c>
      <c r="C47" s="26">
        <v>3.1800000000000002E-2</v>
      </c>
    </row>
    <row r="48" spans="1:3" x14ac:dyDescent="0.25">
      <c r="A48" s="26" t="s">
        <v>354</v>
      </c>
      <c r="B48" s="26" t="s">
        <v>60</v>
      </c>
      <c r="C48" s="26">
        <v>-0.21479999999999999</v>
      </c>
    </row>
    <row r="49" spans="1:3" x14ac:dyDescent="0.25">
      <c r="A49" s="26" t="s">
        <v>355</v>
      </c>
      <c r="B49" s="26" t="s">
        <v>60</v>
      </c>
      <c r="C49" s="26">
        <v>0.1452</v>
      </c>
    </row>
    <row r="50" spans="1:3" x14ac:dyDescent="0.25">
      <c r="A50" s="26" t="s">
        <v>356</v>
      </c>
      <c r="B50" s="26" t="s">
        <v>60</v>
      </c>
      <c r="C50" s="26">
        <v>1.1426000000000001</v>
      </c>
    </row>
    <row r="51" spans="1:3" x14ac:dyDescent="0.25">
      <c r="A51" s="26" t="s">
        <v>357</v>
      </c>
      <c r="B51" s="26" t="s">
        <v>60</v>
      </c>
      <c r="C51" s="26">
        <v>0.14630000000000001</v>
      </c>
    </row>
    <row r="52" spans="1:3" x14ac:dyDescent="0.25">
      <c r="A52" s="26" t="s">
        <v>358</v>
      </c>
      <c r="B52" s="26" t="s">
        <v>60</v>
      </c>
      <c r="C52" s="26" t="b">
        <v>0</v>
      </c>
    </row>
    <row r="53" spans="1:3" x14ac:dyDescent="0.25">
      <c r="A53" s="26" t="s">
        <v>359</v>
      </c>
      <c r="B53" s="26" t="s">
        <v>60</v>
      </c>
      <c r="C53" s="26">
        <v>924.44</v>
      </c>
    </row>
    <row r="54" spans="1:3" x14ac:dyDescent="0.25">
      <c r="A54" s="26" t="s">
        <v>360</v>
      </c>
      <c r="B54" s="26" t="s">
        <v>60</v>
      </c>
      <c r="C54" s="26">
        <v>462.22</v>
      </c>
    </row>
    <row r="55" spans="1:3" x14ac:dyDescent="0.25">
      <c r="A55" s="26" t="s">
        <v>361</v>
      </c>
      <c r="B55" s="26" t="s">
        <v>60</v>
      </c>
      <c r="C55" s="26"/>
    </row>
    <row r="56" spans="1:3" x14ac:dyDescent="0.25">
      <c r="A56" s="26" t="s">
        <v>362</v>
      </c>
      <c r="B56" s="26" t="s">
        <v>60</v>
      </c>
      <c r="C56" s="2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A5" sqref="A5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1" t="s">
        <v>15</v>
      </c>
      <c r="B1" s="21" t="s">
        <v>256</v>
      </c>
      <c r="C1" s="21" t="s">
        <v>300</v>
      </c>
      <c r="D1" s="21" t="s">
        <v>302</v>
      </c>
      <c r="E1" s="21" t="s">
        <v>19</v>
      </c>
      <c r="F1" s="21" t="s">
        <v>301</v>
      </c>
      <c r="G1" s="21" t="s">
        <v>57</v>
      </c>
      <c r="H1" s="21" t="s">
        <v>304</v>
      </c>
      <c r="I1" s="21" t="s">
        <v>303</v>
      </c>
    </row>
    <row r="2" spans="1:9" x14ac:dyDescent="0.25">
      <c r="A2" s="21" t="s">
        <v>128</v>
      </c>
      <c r="B2" s="21" t="s">
        <v>306</v>
      </c>
      <c r="C2" s="23">
        <v>44231</v>
      </c>
      <c r="D2" s="21" t="s">
        <v>307</v>
      </c>
      <c r="E2" s="21" t="s">
        <v>96</v>
      </c>
      <c r="F2" s="21">
        <v>3</v>
      </c>
      <c r="G2" s="21">
        <v>450.5</v>
      </c>
      <c r="H2" s="21">
        <f>Portfolio_Log[[#This Row],[Shares]]*Portfolio_Log[[#This Row],[Stock Price]]</f>
        <v>1351.5</v>
      </c>
      <c r="I2" s="21">
        <v>10</v>
      </c>
    </row>
    <row r="3" spans="1:9" x14ac:dyDescent="0.25">
      <c r="A3" s="22" t="s">
        <v>128</v>
      </c>
      <c r="B3" s="22" t="s">
        <v>306</v>
      </c>
      <c r="C3" s="24">
        <v>44231</v>
      </c>
      <c r="D3" s="22" t="s">
        <v>308</v>
      </c>
      <c r="E3" s="22" t="s">
        <v>96</v>
      </c>
      <c r="F3" s="22">
        <v>2</v>
      </c>
      <c r="G3" s="22">
        <v>801</v>
      </c>
      <c r="H3" s="22">
        <f>Portfolio_Log[[#This Row],[Shares]]*Portfolio_Log[[#This Row],[Stock Price]]</f>
        <v>1602</v>
      </c>
      <c r="I3" s="22">
        <v>10</v>
      </c>
    </row>
    <row r="4" spans="1:9" x14ac:dyDescent="0.25">
      <c r="A4" s="22" t="s">
        <v>305</v>
      </c>
      <c r="B4" s="22" t="s">
        <v>306</v>
      </c>
      <c r="C4" s="24">
        <v>44232</v>
      </c>
      <c r="D4" s="22" t="s">
        <v>307</v>
      </c>
      <c r="E4" s="22" t="s">
        <v>96</v>
      </c>
      <c r="F4" s="22">
        <v>1.1499999999999999</v>
      </c>
      <c r="G4" s="22">
        <v>606</v>
      </c>
      <c r="H4" s="22">
        <f>Portfolio_Log[[#This Row],[Shares]]*Portfolio_Log[[#This Row],[Stock Price]]</f>
        <v>696.9</v>
      </c>
      <c r="I4" s="22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H8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43" t="s">
        <v>72</v>
      </c>
      <c r="B6" s="44"/>
      <c r="C6" s="44"/>
      <c r="D6" s="8"/>
      <c r="E6" s="43" t="s">
        <v>73</v>
      </c>
      <c r="F6" s="44"/>
      <c r="G6" s="44"/>
      <c r="H6" s="45"/>
      <c r="I6" s="43" t="s">
        <v>60</v>
      </c>
      <c r="J6" s="44"/>
      <c r="K6" s="44"/>
      <c r="L6" s="44"/>
      <c r="M6" s="44"/>
      <c r="N6" s="44"/>
      <c r="O6" s="44"/>
      <c r="P6" s="44"/>
      <c r="Q6" s="45"/>
      <c r="R6" s="43" t="s">
        <v>34</v>
      </c>
      <c r="S6" s="44"/>
      <c r="T6" s="44"/>
      <c r="U6" s="44"/>
      <c r="V6" s="44"/>
      <c r="W6" s="44"/>
      <c r="X6" s="45"/>
      <c r="Y6" s="43" t="s">
        <v>82</v>
      </c>
      <c r="Z6" s="44"/>
      <c r="AA6" s="44"/>
      <c r="AB6" s="44"/>
      <c r="AC6" s="44"/>
      <c r="AD6" s="44"/>
      <c r="AE6" s="44"/>
      <c r="AF6" s="44"/>
      <c r="AG6" s="44"/>
      <c r="AH6" s="44"/>
      <c r="AI6" s="45"/>
      <c r="AJ6" s="43" t="s">
        <v>14</v>
      </c>
      <c r="AK6" s="44"/>
      <c r="AL6" s="44"/>
      <c r="AM6" s="44"/>
      <c r="AN6" s="44"/>
      <c r="AO6" s="44"/>
      <c r="AP6" s="44"/>
      <c r="AQ6" s="44"/>
      <c r="AR6" s="44"/>
      <c r="AS6" s="45"/>
      <c r="AT6" s="43" t="s">
        <v>36</v>
      </c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156" priority="60" operator="equal">
      <formula>FALSE</formula>
    </cfRule>
    <cfRule type="cellIs" dxfId="155" priority="61" operator="equal">
      <formula>TRUE</formula>
    </cfRule>
  </conditionalFormatting>
  <conditionalFormatting sqref="I8:I10">
    <cfRule type="cellIs" dxfId="154" priority="5" operator="equal">
      <formula>"WAIT"</formula>
    </cfRule>
    <cfRule type="cellIs" dxfId="153" priority="41" operator="equal">
      <formula>"CHECK"</formula>
    </cfRule>
    <cfRule type="cellIs" dxfId="152" priority="58" operator="equal">
      <formula>FALSE</formula>
    </cfRule>
    <cfRule type="cellIs" dxfId="151" priority="59" operator="equal">
      <formula>TRUE</formula>
    </cfRule>
  </conditionalFormatting>
  <conditionalFormatting sqref="C8:C10">
    <cfRule type="cellIs" dxfId="150" priority="4" operator="equal">
      <formula>"WAIT"</formula>
    </cfRule>
    <cfRule type="cellIs" dxfId="149" priority="47" operator="equal">
      <formula>"CHECK"</formula>
    </cfRule>
    <cfRule type="cellIs" dxfId="148" priority="48" operator="equal">
      <formula>"NOT BUY"</formula>
    </cfRule>
    <cfRule type="cellIs" dxfId="147" priority="49" operator="equal">
      <formula>"BUY"</formula>
    </cfRule>
  </conditionalFormatting>
  <conditionalFormatting sqref="F8:H10">
    <cfRule type="cellIs" dxfId="146" priority="45" operator="equal">
      <formula>"SELL"</formula>
    </cfRule>
    <cfRule type="cellIs" dxfId="145" priority="46" operator="equal">
      <formula>"BUY"</formula>
    </cfRule>
  </conditionalFormatting>
  <conditionalFormatting sqref="AK8:AN10 AP8:AS10 AU8:AX10 AZ8:BC10 BE8:BH10 BJ8:BM10 BO8:BR10">
    <cfRule type="cellIs" dxfId="144" priority="42" operator="greaterThanOrEqual">
      <formula>10%</formula>
    </cfRule>
    <cfRule type="cellIs" dxfId="143" priority="43" operator="greaterThanOrEqual">
      <formula>8%</formula>
    </cfRule>
    <cfRule type="cellIs" dxfId="142" priority="44" operator="lessThan">
      <formula>8%</formula>
    </cfRule>
  </conditionalFormatting>
  <conditionalFormatting sqref="B8:B10">
    <cfRule type="cellIs" dxfId="141" priority="34" operator="equal">
      <formula>"Refresh"</formula>
    </cfRule>
    <cfRule type="cellIs" dxfId="140" priority="35" operator="equal">
      <formula>"New"</formula>
    </cfRule>
    <cfRule type="cellIs" dxfId="139" priority="36" operator="equal">
      <formula>"Updated"</formula>
    </cfRule>
  </conditionalFormatting>
  <conditionalFormatting sqref="B8:B10">
    <cfRule type="cellIs" dxfId="138" priority="33" operator="equal">
      <formula>"Hold"</formula>
    </cfRule>
  </conditionalFormatting>
  <conditionalFormatting sqref="AJ8:AJ10 AO8:AO10 AT8:AT10 AY8:AY10 BD8:BD10 BI8:BI10 BN8:BN10 M8:O10 D8:D10 K8:K10">
    <cfRule type="cellIs" dxfId="137" priority="30" operator="equal">
      <formula>"CHECK"</formula>
    </cfRule>
    <cfRule type="cellIs" dxfId="136" priority="31" operator="equal">
      <formula>FALSE</formula>
    </cfRule>
    <cfRule type="cellIs" dxfId="135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9:L10 L8" xr:uid="{7EE9FAEE-7490-4DA2-B3BE-3F4A26AD8957}">
      <formula1>"Brand,Patent,Toll,Switching,Price"</formula1>
    </dataValidation>
    <dataValidation type="list" allowBlank="1" showInputMessage="1" showErrorMessage="1" sqref="J9:J10 J8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6" t="s">
        <v>33</v>
      </c>
      <c r="B6" s="46"/>
      <c r="C6" s="46" t="s">
        <v>34</v>
      </c>
      <c r="D6" s="46"/>
      <c r="E6" s="46"/>
      <c r="F6" s="46"/>
      <c r="G6" s="46"/>
      <c r="H6" s="46"/>
      <c r="I6" s="46" t="s">
        <v>35</v>
      </c>
      <c r="J6" s="46"/>
      <c r="K6" s="43" t="s">
        <v>14</v>
      </c>
      <c r="L6" s="44"/>
      <c r="M6" s="44"/>
      <c r="N6" s="44"/>
      <c r="O6" s="44"/>
      <c r="P6" s="44"/>
      <c r="Q6" s="44"/>
      <c r="R6" s="44"/>
      <c r="S6" s="44"/>
      <c r="T6" s="45"/>
      <c r="U6" s="43" t="s">
        <v>36</v>
      </c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5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60" priority="59" operator="equal">
      <formula>"Refresh"</formula>
    </cfRule>
    <cfRule type="cellIs" dxfId="59" priority="60" operator="equal">
      <formula>"New"</formula>
    </cfRule>
    <cfRule type="cellIs" dxfId="58" priority="61" operator="equal">
      <formula>"Updated"</formula>
    </cfRule>
  </conditionalFormatting>
  <conditionalFormatting sqref="J8:J51">
    <cfRule type="cellIs" dxfId="57" priority="57" operator="equal">
      <formula>FALSE</formula>
    </cfRule>
    <cfRule type="cellIs" dxfId="56" priority="58" operator="equal">
      <formula>TRUE</formula>
    </cfRule>
  </conditionalFormatting>
  <conditionalFormatting sqref="AO8:AO51 AJ8:AJ51 AE8:AE51 Z8:Z51 U8:U51 P8:P51 K8:K51 I8:I51">
    <cfRule type="cellIs" dxfId="55" priority="44" operator="equal">
      <formula>"CHECK"</formula>
    </cfRule>
    <cfRule type="cellIs" dxfId="54" priority="45" operator="equal">
      <formula>FALSE</formula>
    </cfRule>
    <cfRule type="cellIs" dxfId="53" priority="46" operator="equal">
      <formula>TRUE</formula>
    </cfRule>
  </conditionalFormatting>
  <conditionalFormatting sqref="B8:B51">
    <cfRule type="cellIs" dxfId="52" priority="22" operator="equal">
      <formula>"Hold"</formula>
    </cfRule>
  </conditionalFormatting>
  <conditionalFormatting sqref="V8:Y51 AA8:AD51 AF8:AI51 AK8:AN51 AP8:AS51 Q8:T51 L8:O51">
    <cfRule type="cellIs" dxfId="51" priority="19" operator="greaterThanOrEqual">
      <formula>10%</formula>
    </cfRule>
    <cfRule type="cellIs" dxfId="50" priority="20" operator="greaterThanOrEqual">
      <formula>8%</formula>
    </cfRule>
    <cfRule type="cellIs" dxfId="49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69</vt:i4>
      </vt:variant>
    </vt:vector>
  </HeadingPairs>
  <TitlesOfParts>
    <vt:vector size="75" baseType="lpstr">
      <vt:lpstr>Portfolio</vt:lpstr>
      <vt:lpstr>Portfolio_Backend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capital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last_quarter_report_date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ticker_combobox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2021-02-25T08:00:33Z</dcterms:modified>
</cp:coreProperties>
</file>